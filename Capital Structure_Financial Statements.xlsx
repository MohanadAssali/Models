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D6EB507-C78E-4149-8A05-4F980028D62F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2" i="1" l="1"/>
  <c r="V18" i="1"/>
  <c r="V21" i="1" s="1"/>
  <c r="V27" i="1"/>
  <c r="W27" i="1" s="1"/>
  <c r="X27" i="1" s="1"/>
  <c r="Y27" i="1" s="1"/>
  <c r="Z27" i="1" s="1"/>
  <c r="AA27" i="1" s="1"/>
  <c r="J37" i="1"/>
  <c r="I37" i="1"/>
  <c r="H37" i="1"/>
  <c r="J36" i="1"/>
  <c r="I36" i="1"/>
  <c r="H36" i="1"/>
  <c r="J35" i="1"/>
  <c r="I35" i="1"/>
  <c r="H35" i="1"/>
  <c r="D18" i="1"/>
  <c r="D20" i="1" s="1"/>
  <c r="G75" i="1"/>
  <c r="G74" i="1"/>
  <c r="G73" i="1"/>
  <c r="G72" i="1"/>
  <c r="G71" i="1"/>
  <c r="G30" i="1"/>
  <c r="G29" i="1"/>
  <c r="G27" i="1"/>
  <c r="G26" i="1"/>
  <c r="G22" i="1"/>
  <c r="G21" i="1"/>
  <c r="G24" i="1" s="1"/>
  <c r="G19" i="1"/>
  <c r="G17" i="1"/>
  <c r="G16" i="1"/>
  <c r="G15" i="1"/>
  <c r="G64" i="1"/>
  <c r="G65" i="1"/>
  <c r="G67" i="1"/>
  <c r="G66" i="1"/>
  <c r="F75" i="1"/>
  <c r="F74" i="1"/>
  <c r="F67" i="1"/>
  <c r="F66" i="1"/>
  <c r="F65" i="1"/>
  <c r="F64" i="1"/>
  <c r="E75" i="1"/>
  <c r="E74" i="1"/>
  <c r="E76" i="1" s="1"/>
  <c r="E64" i="1"/>
  <c r="D75" i="1"/>
  <c r="D74" i="1"/>
  <c r="D64" i="1"/>
  <c r="I5" i="1"/>
  <c r="I8" i="1" s="1"/>
  <c r="E67" i="1"/>
  <c r="E66" i="1"/>
  <c r="E65" i="1"/>
  <c r="D67" i="1"/>
  <c r="D66" i="1"/>
  <c r="D65" i="1"/>
  <c r="G57" i="1"/>
  <c r="G55" i="1"/>
  <c r="G54" i="1"/>
  <c r="G53" i="1"/>
  <c r="G52" i="1"/>
  <c r="G47" i="1"/>
  <c r="G51" i="1" s="1"/>
  <c r="F52" i="1"/>
  <c r="F47" i="1"/>
  <c r="F51" i="1" s="1"/>
  <c r="E53" i="1"/>
  <c r="E52" i="1"/>
  <c r="E47" i="1"/>
  <c r="E51" i="1" s="1"/>
  <c r="D55" i="1"/>
  <c r="D54" i="1"/>
  <c r="D53" i="1"/>
  <c r="D52" i="1"/>
  <c r="D48" i="1"/>
  <c r="D47" i="1"/>
  <c r="D51" i="1" s="1"/>
  <c r="F26" i="1"/>
  <c r="E26" i="1"/>
  <c r="U18" i="1"/>
  <c r="U41" i="1" s="1"/>
  <c r="T18" i="1"/>
  <c r="T41" i="1" s="1"/>
  <c r="S18" i="1"/>
  <c r="S41" i="1" s="1"/>
  <c r="R18" i="1"/>
  <c r="R41" i="1" s="1"/>
  <c r="Q18" i="1"/>
  <c r="Q41" i="1" s="1"/>
  <c r="M18" i="1"/>
  <c r="M41" i="1" s="1"/>
  <c r="L18" i="1"/>
  <c r="L41" i="1" s="1"/>
  <c r="J18" i="1"/>
  <c r="J41" i="1" s="1"/>
  <c r="I18" i="1"/>
  <c r="I41" i="1" s="1"/>
  <c r="H18" i="1"/>
  <c r="H41" i="1" s="1"/>
  <c r="F18" i="1"/>
  <c r="F20" i="1" s="1"/>
  <c r="E18" i="1"/>
  <c r="E20" i="1" s="1"/>
  <c r="N18" i="1"/>
  <c r="N42" i="1" s="1"/>
  <c r="D26" i="1"/>
  <c r="D24" i="1"/>
  <c r="F24" i="1"/>
  <c r="E24" i="1"/>
  <c r="U37" i="1"/>
  <c r="T37" i="1"/>
  <c r="S37" i="1"/>
  <c r="R37" i="1"/>
  <c r="U36" i="1"/>
  <c r="T36" i="1"/>
  <c r="S36" i="1"/>
  <c r="R36" i="1"/>
  <c r="T35" i="1"/>
  <c r="S35" i="1"/>
  <c r="R35" i="1"/>
  <c r="U35" i="1"/>
  <c r="N37" i="1"/>
  <c r="M37" i="1"/>
  <c r="L37" i="1"/>
  <c r="N36" i="1"/>
  <c r="M36" i="1"/>
  <c r="L36" i="1"/>
  <c r="M35" i="1"/>
  <c r="L35" i="1"/>
  <c r="N35" i="1"/>
  <c r="K17" i="1"/>
  <c r="K16" i="1"/>
  <c r="K15" i="1"/>
  <c r="T75" i="1"/>
  <c r="T74" i="1"/>
  <c r="U75" i="1"/>
  <c r="U74" i="1"/>
  <c r="R75" i="1"/>
  <c r="R74" i="1"/>
  <c r="S75" i="1"/>
  <c r="S74" i="1"/>
  <c r="Q75" i="1"/>
  <c r="Q74" i="1"/>
  <c r="Q52" i="1"/>
  <c r="Q47" i="1"/>
  <c r="Q48" i="1"/>
  <c r="R54" i="1"/>
  <c r="R47" i="1"/>
  <c r="R52" i="1"/>
  <c r="S55" i="1"/>
  <c r="S54" i="1"/>
  <c r="S53" i="1"/>
  <c r="S52" i="1"/>
  <c r="S47" i="1"/>
  <c r="T57" i="1"/>
  <c r="T56" i="1"/>
  <c r="T55" i="1"/>
  <c r="T54" i="1"/>
  <c r="T53" i="1"/>
  <c r="T52" i="1"/>
  <c r="T47" i="1"/>
  <c r="U57" i="1"/>
  <c r="U56" i="1"/>
  <c r="U55" i="1"/>
  <c r="U54" i="1"/>
  <c r="U53" i="1"/>
  <c r="U52" i="1"/>
  <c r="U47" i="1"/>
  <c r="J58" i="1"/>
  <c r="J57" i="1"/>
  <c r="J56" i="1"/>
  <c r="J55" i="1"/>
  <c r="J54" i="1"/>
  <c r="J53" i="1"/>
  <c r="J52" i="1"/>
  <c r="J47" i="1"/>
  <c r="N67" i="1"/>
  <c r="N66" i="1"/>
  <c r="N65" i="1"/>
  <c r="N64" i="1"/>
  <c r="M67" i="1"/>
  <c r="M66" i="1"/>
  <c r="M65" i="1"/>
  <c r="M64" i="1"/>
  <c r="M63" i="1"/>
  <c r="L67" i="1"/>
  <c r="L66" i="1"/>
  <c r="L65" i="1"/>
  <c r="L64" i="1"/>
  <c r="Q66" i="1"/>
  <c r="Q67" i="1"/>
  <c r="Q65" i="1"/>
  <c r="Q64" i="1"/>
  <c r="Q63" i="1"/>
  <c r="R67" i="1"/>
  <c r="R66" i="1"/>
  <c r="R65" i="1"/>
  <c r="R64" i="1"/>
  <c r="S65" i="1"/>
  <c r="S67" i="1"/>
  <c r="S66" i="1"/>
  <c r="S64" i="1"/>
  <c r="T67" i="1"/>
  <c r="T66" i="1"/>
  <c r="T65" i="1"/>
  <c r="T64" i="1"/>
  <c r="U67" i="1"/>
  <c r="U66" i="1"/>
  <c r="U65" i="1"/>
  <c r="U64" i="1"/>
  <c r="K67" i="1"/>
  <c r="K66" i="1"/>
  <c r="K65" i="1"/>
  <c r="K64" i="1"/>
  <c r="J64" i="1"/>
  <c r="J67" i="1"/>
  <c r="J66" i="1"/>
  <c r="J65" i="1"/>
  <c r="I67" i="1"/>
  <c r="I66" i="1"/>
  <c r="I65" i="1"/>
  <c r="I64" i="1"/>
  <c r="H66" i="1"/>
  <c r="H67" i="1"/>
  <c r="H64" i="1"/>
  <c r="H65" i="1"/>
  <c r="H63" i="1"/>
  <c r="J74" i="1"/>
  <c r="K74" i="1"/>
  <c r="K75" i="1"/>
  <c r="K71" i="1"/>
  <c r="K73" i="1"/>
  <c r="K72" i="1"/>
  <c r="J75" i="1"/>
  <c r="J73" i="1"/>
  <c r="J72" i="1"/>
  <c r="J71" i="1"/>
  <c r="I74" i="1"/>
  <c r="I75" i="1"/>
  <c r="I73" i="1"/>
  <c r="I72" i="1"/>
  <c r="I71" i="1"/>
  <c r="H75" i="1"/>
  <c r="H74" i="1"/>
  <c r="N75" i="1"/>
  <c r="N74" i="1"/>
  <c r="N73" i="1"/>
  <c r="N72" i="1"/>
  <c r="N71" i="1"/>
  <c r="M75" i="1"/>
  <c r="M74" i="1"/>
  <c r="M73" i="1"/>
  <c r="M72" i="1"/>
  <c r="M71" i="1"/>
  <c r="M70" i="1"/>
  <c r="L75" i="1"/>
  <c r="L74" i="1"/>
  <c r="N43" i="1" l="1"/>
  <c r="M43" i="1"/>
  <c r="G59" i="1"/>
  <c r="Q43" i="1"/>
  <c r="R43" i="1"/>
  <c r="H42" i="1"/>
  <c r="I42" i="1"/>
  <c r="J42" i="1"/>
  <c r="U42" i="1"/>
  <c r="Q42" i="1"/>
  <c r="L42" i="1"/>
  <c r="R42" i="1"/>
  <c r="M42" i="1"/>
  <c r="S42" i="1"/>
  <c r="K18" i="1"/>
  <c r="F76" i="1"/>
  <c r="L43" i="1"/>
  <c r="T42" i="1"/>
  <c r="S43" i="1"/>
  <c r="I43" i="1"/>
  <c r="T43" i="1"/>
  <c r="G18" i="1"/>
  <c r="G20" i="1" s="1"/>
  <c r="G25" i="1" s="1"/>
  <c r="G28" i="1" s="1"/>
  <c r="G31" i="1" s="1"/>
  <c r="G32" i="1" s="1"/>
  <c r="H38" i="1"/>
  <c r="K36" i="1"/>
  <c r="K35" i="1"/>
  <c r="H43" i="1"/>
  <c r="J43" i="1"/>
  <c r="U43" i="1"/>
  <c r="N38" i="1"/>
  <c r="E68" i="1"/>
  <c r="N41" i="1"/>
  <c r="E59" i="1"/>
  <c r="J38" i="1"/>
  <c r="I38" i="1"/>
  <c r="G68" i="1"/>
  <c r="K37" i="1"/>
  <c r="D59" i="1"/>
  <c r="D68" i="1"/>
  <c r="F59" i="1"/>
  <c r="F68" i="1"/>
  <c r="D76" i="1"/>
  <c r="G76" i="1"/>
  <c r="M38" i="1"/>
  <c r="F25" i="1"/>
  <c r="F28" i="1" s="1"/>
  <c r="F31" i="1" s="1"/>
  <c r="F32" i="1" s="1"/>
  <c r="E25" i="1"/>
  <c r="E28" i="1" s="1"/>
  <c r="E31" i="1" s="1"/>
  <c r="E32" i="1" s="1"/>
  <c r="L38" i="1"/>
  <c r="D25" i="1"/>
  <c r="D28" i="1" s="1"/>
  <c r="D31" i="1" s="1"/>
  <c r="D32" i="1" s="1"/>
  <c r="S76" i="1"/>
  <c r="Q76" i="1"/>
  <c r="T76" i="1"/>
  <c r="U68" i="1"/>
  <c r="R76" i="1"/>
  <c r="U76" i="1"/>
  <c r="L76" i="1"/>
  <c r="K76" i="1"/>
  <c r="J76" i="1"/>
  <c r="I76" i="1"/>
  <c r="N76" i="1"/>
  <c r="H76" i="1"/>
  <c r="M76" i="1"/>
  <c r="N57" i="1"/>
  <c r="N53" i="1"/>
  <c r="N52" i="1"/>
  <c r="N47" i="1"/>
  <c r="H57" i="1"/>
  <c r="H52" i="1"/>
  <c r="H47" i="1"/>
  <c r="I57" i="1"/>
  <c r="I54" i="1"/>
  <c r="I52" i="1"/>
  <c r="I47" i="1"/>
  <c r="K52" i="1"/>
  <c r="K57" i="1"/>
  <c r="K47" i="1"/>
  <c r="L57" i="1"/>
  <c r="M57" i="1"/>
  <c r="M52" i="1"/>
  <c r="M47" i="1"/>
  <c r="L52" i="1"/>
  <c r="L47" i="1"/>
  <c r="K30" i="1"/>
  <c r="K29" i="1"/>
  <c r="K27" i="1"/>
  <c r="K26" i="1"/>
  <c r="K23" i="1"/>
  <c r="K22" i="1"/>
  <c r="K21" i="1"/>
  <c r="K19" i="1"/>
  <c r="N26" i="1"/>
  <c r="J29" i="1"/>
  <c r="J26" i="1"/>
  <c r="Q27" i="1"/>
  <c r="Q26" i="1"/>
  <c r="R26" i="1"/>
  <c r="S26" i="1"/>
  <c r="T26" i="1"/>
  <c r="U26" i="1"/>
  <c r="T24" i="1"/>
  <c r="S24" i="1"/>
  <c r="R24" i="1"/>
  <c r="Q24" i="1"/>
  <c r="U24" i="1"/>
  <c r="V19" i="1" l="1"/>
  <c r="V20" i="1" s="1"/>
  <c r="L44" i="1"/>
  <c r="V26" i="1"/>
  <c r="W26" i="1" s="1"/>
  <c r="X26" i="1" s="1"/>
  <c r="Y26" i="1" s="1"/>
  <c r="Z26" i="1" s="1"/>
  <c r="AA26" i="1" s="1"/>
  <c r="K42" i="1"/>
  <c r="W18" i="1"/>
  <c r="W22" i="1" s="1"/>
  <c r="K43" i="1"/>
  <c r="K38" i="1"/>
  <c r="K41" i="1"/>
  <c r="H26" i="1"/>
  <c r="L26" i="1"/>
  <c r="I26" i="1"/>
  <c r="M26" i="1"/>
  <c r="V24" i="1" l="1"/>
  <c r="W21" i="1"/>
  <c r="X18" i="1"/>
  <c r="X22" i="1" s="1"/>
  <c r="W24" i="1"/>
  <c r="W19" i="1"/>
  <c r="W20" i="1" s="1"/>
  <c r="M24" i="1"/>
  <c r="L24" i="1"/>
  <c r="K24" i="1"/>
  <c r="J24" i="1"/>
  <c r="I24" i="1"/>
  <c r="H24" i="1"/>
  <c r="N24" i="1"/>
  <c r="K20" i="1"/>
  <c r="V25" i="1" l="1"/>
  <c r="Y18" i="1"/>
  <c r="Y22" i="1" s="1"/>
  <c r="X21" i="1"/>
  <c r="W25" i="1"/>
  <c r="W28" i="1" s="1"/>
  <c r="X24" i="1"/>
  <c r="X19" i="1"/>
  <c r="X20" i="1" s="1"/>
  <c r="X25" i="1" s="1"/>
  <c r="K25" i="1"/>
  <c r="W29" i="1" l="1"/>
  <c r="W31" i="1" s="1"/>
  <c r="W32" i="1" s="1"/>
  <c r="V28" i="1"/>
  <c r="V29" i="1" s="1"/>
  <c r="X28" i="1"/>
  <c r="Z18" i="1"/>
  <c r="Y21" i="1"/>
  <c r="Y24" i="1"/>
  <c r="Y19" i="1"/>
  <c r="Y20" i="1" s="1"/>
  <c r="Y25" i="1" l="1"/>
  <c r="X29" i="1"/>
  <c r="X31" i="1" s="1"/>
  <c r="X32" i="1" s="1"/>
  <c r="V31" i="1"/>
  <c r="Y28" i="1"/>
  <c r="Z21" i="1"/>
  <c r="AA18" i="1"/>
  <c r="AA21" i="1" s="1"/>
  <c r="Z22" i="1"/>
  <c r="Z19" i="1"/>
  <c r="Z20" i="1" s="1"/>
  <c r="Y29" i="1" l="1"/>
  <c r="Y31" i="1" s="1"/>
  <c r="Y32" i="1" s="1"/>
  <c r="V32" i="1"/>
  <c r="Z24" i="1"/>
  <c r="AA22" i="1"/>
  <c r="AA19" i="1"/>
  <c r="AA20" i="1" s="1"/>
  <c r="K51" i="1"/>
  <c r="K59" i="1" s="1"/>
  <c r="Q51" i="1"/>
  <c r="Q59" i="1" s="1"/>
  <c r="R51" i="1"/>
  <c r="R59" i="1" s="1"/>
  <c r="S51" i="1"/>
  <c r="S59" i="1" s="1"/>
  <c r="N68" i="1"/>
  <c r="L51" i="1"/>
  <c r="L59" i="1" s="1"/>
  <c r="M51" i="1"/>
  <c r="M59" i="1" s="1"/>
  <c r="N51" i="1"/>
  <c r="N59" i="1" s="1"/>
  <c r="T68" i="1"/>
  <c r="T51" i="1"/>
  <c r="T59" i="1" s="1"/>
  <c r="Z25" i="1" l="1"/>
  <c r="Z28" i="1" s="1"/>
  <c r="AA24" i="1"/>
  <c r="AA25" i="1" s="1"/>
  <c r="I68" i="1"/>
  <c r="J68" i="1"/>
  <c r="Q68" i="1"/>
  <c r="L68" i="1"/>
  <c r="H68" i="1"/>
  <c r="K68" i="1"/>
  <c r="M68" i="1"/>
  <c r="H51" i="1"/>
  <c r="H59" i="1" s="1"/>
  <c r="I51" i="1"/>
  <c r="I59" i="1" s="1"/>
  <c r="K28" i="1"/>
  <c r="K31" i="1" s="1"/>
  <c r="R68" i="1"/>
  <c r="S68" i="1"/>
  <c r="U51" i="1"/>
  <c r="U59" i="1" s="1"/>
  <c r="R38" i="1"/>
  <c r="Q38" i="1"/>
  <c r="Q20" i="1"/>
  <c r="Q39" i="1" s="1"/>
  <c r="R20" i="1"/>
  <c r="H20" i="1"/>
  <c r="I20" i="1"/>
  <c r="I39" i="1" s="1"/>
  <c r="S38" i="1"/>
  <c r="J51" i="1"/>
  <c r="J59" i="1" s="1"/>
  <c r="T38" i="1"/>
  <c r="U38" i="1"/>
  <c r="Z29" i="1" l="1"/>
  <c r="Z31" i="1" s="1"/>
  <c r="Z32" i="1" s="1"/>
  <c r="AA28" i="1"/>
  <c r="K32" i="1"/>
  <c r="K40" i="1"/>
  <c r="R25" i="1"/>
  <c r="R40" i="1" s="1"/>
  <c r="H25" i="1"/>
  <c r="K39" i="1"/>
  <c r="R39" i="1"/>
  <c r="H39" i="1"/>
  <c r="Q25" i="1"/>
  <c r="I25" i="1"/>
  <c r="I40" i="1" s="1"/>
  <c r="AA29" i="1" l="1"/>
  <c r="AA31" i="1" s="1"/>
  <c r="AA32" i="1" s="1"/>
  <c r="H28" i="1"/>
  <c r="H31" i="1" s="1"/>
  <c r="H32" i="1" s="1"/>
  <c r="R28" i="1"/>
  <c r="R31" i="1" s="1"/>
  <c r="H40" i="1"/>
  <c r="Q40" i="1"/>
  <c r="Q28" i="1"/>
  <c r="Q31" i="1" s="1"/>
  <c r="I28" i="1"/>
  <c r="U20" i="1"/>
  <c r="U39" i="1" s="1"/>
  <c r="T20" i="1"/>
  <c r="S20" i="1"/>
  <c r="S39" i="1" s="1"/>
  <c r="M20" i="1"/>
  <c r="L20" i="1"/>
  <c r="J20" i="1"/>
  <c r="N20" i="1"/>
  <c r="I31" i="1" l="1"/>
  <c r="I32" i="1" s="1"/>
  <c r="Q32" i="1"/>
  <c r="R32" i="1"/>
  <c r="J39" i="1"/>
  <c r="J25" i="1"/>
  <c r="J28" i="1" s="1"/>
  <c r="U25" i="1"/>
  <c r="N39" i="1"/>
  <c r="M25" i="1"/>
  <c r="M28" i="1" s="1"/>
  <c r="M31" i="1" s="1"/>
  <c r="M39" i="1"/>
  <c r="S25" i="1"/>
  <c r="S28" i="1" s="1"/>
  <c r="S31" i="1" s="1"/>
  <c r="L25" i="1"/>
  <c r="L28" i="1" s="1"/>
  <c r="L31" i="1" s="1"/>
  <c r="L39" i="1"/>
  <c r="T25" i="1"/>
  <c r="T28" i="1" s="1"/>
  <c r="T31" i="1" s="1"/>
  <c r="T39" i="1"/>
  <c r="U28" i="1" l="1"/>
  <c r="U31" i="1" s="1"/>
  <c r="U40" i="1"/>
  <c r="S32" i="1"/>
  <c r="S40" i="1"/>
  <c r="M40" i="1"/>
  <c r="J40" i="1"/>
  <c r="T32" i="1"/>
  <c r="T40" i="1"/>
  <c r="L40" i="1"/>
  <c r="J31" i="1" l="1"/>
  <c r="U32" i="1"/>
  <c r="L32" i="1"/>
  <c r="M32" i="1"/>
  <c r="N25" i="1"/>
  <c r="N40" i="1" s="1"/>
  <c r="J32" i="1" l="1"/>
  <c r="N28" i="1"/>
  <c r="N31" i="1" s="1"/>
  <c r="N32" i="1" l="1"/>
</calcChain>
</file>

<file path=xl/sharedStrings.xml><?xml version="1.0" encoding="utf-8"?>
<sst xmlns="http://schemas.openxmlformats.org/spreadsheetml/2006/main" count="134" uniqueCount="119">
  <si>
    <t>Capital Structure</t>
  </si>
  <si>
    <t>Price</t>
  </si>
  <si>
    <t>Shares outstanding</t>
  </si>
  <si>
    <t>MC</t>
  </si>
  <si>
    <t>Cash</t>
  </si>
  <si>
    <t>Debt</t>
  </si>
  <si>
    <t>EV</t>
  </si>
  <si>
    <t>Income Statement</t>
  </si>
  <si>
    <t>Revenue</t>
  </si>
  <si>
    <t>COGS</t>
  </si>
  <si>
    <t>Gross Profit</t>
  </si>
  <si>
    <t>Q125</t>
  </si>
  <si>
    <t>Q225</t>
  </si>
  <si>
    <t>Q325</t>
  </si>
  <si>
    <t>Q425</t>
  </si>
  <si>
    <t>FY2022</t>
  </si>
  <si>
    <t>FY2023</t>
  </si>
  <si>
    <t>FY2024</t>
  </si>
  <si>
    <t>FY2025</t>
  </si>
  <si>
    <t>FY2026</t>
  </si>
  <si>
    <t>SG&amp;D</t>
  </si>
  <si>
    <t>Operating expenses</t>
  </si>
  <si>
    <t>EBITDA</t>
  </si>
  <si>
    <t>Interest exp</t>
  </si>
  <si>
    <t>Pretax Income</t>
  </si>
  <si>
    <t>Tax</t>
  </si>
  <si>
    <t>Net Income</t>
  </si>
  <si>
    <t>EPS</t>
  </si>
  <si>
    <t>Shares</t>
  </si>
  <si>
    <t>Gross Margin</t>
  </si>
  <si>
    <t>Operating Margin</t>
  </si>
  <si>
    <t>Balance Sheet</t>
  </si>
  <si>
    <t>Assets</t>
  </si>
  <si>
    <t>A/R</t>
  </si>
  <si>
    <t>Inventory</t>
  </si>
  <si>
    <t>OCA</t>
  </si>
  <si>
    <t>PPE</t>
  </si>
  <si>
    <t>Goodwill</t>
  </si>
  <si>
    <t>Equity &amp; Liabilities</t>
  </si>
  <si>
    <t>A/P</t>
  </si>
  <si>
    <t>L+SE</t>
  </si>
  <si>
    <t>Cashflow</t>
  </si>
  <si>
    <t>Model NI</t>
  </si>
  <si>
    <t>SBC</t>
  </si>
  <si>
    <t>Other</t>
  </si>
  <si>
    <t>WC</t>
  </si>
  <si>
    <t>CFFO</t>
  </si>
  <si>
    <t>Q324</t>
  </si>
  <si>
    <t>Main</t>
  </si>
  <si>
    <t>Quartely</t>
  </si>
  <si>
    <t>Annually</t>
  </si>
  <si>
    <t>Q224</t>
  </si>
  <si>
    <t>Other Exp</t>
  </si>
  <si>
    <t>Other Income</t>
  </si>
  <si>
    <t>Q424</t>
  </si>
  <si>
    <t>Q124</t>
  </si>
  <si>
    <t>FY2027</t>
  </si>
  <si>
    <t>FY2028</t>
  </si>
  <si>
    <t>FY2021</t>
  </si>
  <si>
    <t>FY2020</t>
  </si>
  <si>
    <t>Current Assets</t>
  </si>
  <si>
    <t>D&amp;A</t>
  </si>
  <si>
    <t>$mil</t>
  </si>
  <si>
    <t>Financial Statements</t>
  </si>
  <si>
    <t>EBITDA/Revenue</t>
  </si>
  <si>
    <t>GP/Revenue</t>
  </si>
  <si>
    <t>R&amp;D</t>
  </si>
  <si>
    <t>NCI</t>
  </si>
  <si>
    <t>Tesla Inc.</t>
  </si>
  <si>
    <t>31/12/2019</t>
  </si>
  <si>
    <t>31/12/2021</t>
  </si>
  <si>
    <t>31/12/2022</t>
  </si>
  <si>
    <t>31/12/2023</t>
  </si>
  <si>
    <t>31/12/2024</t>
  </si>
  <si>
    <t>31/12/2025</t>
  </si>
  <si>
    <t>solar systems</t>
  </si>
  <si>
    <t>Intangibles</t>
  </si>
  <si>
    <t xml:space="preserve">Digital assets </t>
  </si>
  <si>
    <t>lease revenue</t>
  </si>
  <si>
    <t>Reported NI</t>
  </si>
  <si>
    <t>Deferred Revenue</t>
  </si>
  <si>
    <t>Accured Liab</t>
  </si>
  <si>
    <t>LT Liabilities &amp; Noncon. Int</t>
  </si>
  <si>
    <t>SE &amp; Noncon. Int</t>
  </si>
  <si>
    <t>Automative revenues</t>
  </si>
  <si>
    <t>Energy Generation</t>
  </si>
  <si>
    <t>Services</t>
  </si>
  <si>
    <t>RD% of Revenue</t>
  </si>
  <si>
    <t>Financial Ratios</t>
  </si>
  <si>
    <t>FY2029</t>
  </si>
  <si>
    <t>FY2030</t>
  </si>
  <si>
    <t>Projections</t>
  </si>
  <si>
    <t>31/12/2026</t>
  </si>
  <si>
    <t>31/12/2027</t>
  </si>
  <si>
    <t>31/12/2028</t>
  </si>
  <si>
    <t>31/12/2029</t>
  </si>
  <si>
    <t>31/12/2030</t>
  </si>
  <si>
    <t>Net Revenue</t>
  </si>
  <si>
    <t>Mohanad Assali</t>
  </si>
  <si>
    <t>Created 1/21/2025</t>
  </si>
  <si>
    <t>Q323</t>
  </si>
  <si>
    <t>Q223</t>
  </si>
  <si>
    <t>Q423</t>
  </si>
  <si>
    <t>Automative Growth y/y</t>
  </si>
  <si>
    <t>Energy  Generation Growth y/y</t>
  </si>
  <si>
    <t>Services Growth y/y</t>
  </si>
  <si>
    <t>Q123</t>
  </si>
  <si>
    <t>Revenue Growth y/y</t>
  </si>
  <si>
    <t>COGS Margin</t>
  </si>
  <si>
    <t>SG&amp;D% of Revenue</t>
  </si>
  <si>
    <t>Post 2025</t>
  </si>
  <si>
    <t>Base Case</t>
  </si>
  <si>
    <t>Model Assumptions:</t>
  </si>
  <si>
    <t>Interest exp.</t>
  </si>
  <si>
    <t>Average</t>
  </si>
  <si>
    <t>18-20%</t>
  </si>
  <si>
    <t>.+0.34%-0.5%</t>
  </si>
  <si>
    <t>Diluted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</si>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</sst>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10"/>
      <color rgb="FF0A0A0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3" fontId="3" fillId="0" borderId="0" xfId="0" applyNumberFormat="1" applyFont="1"/>
    <xf numFmtId="0" fontId="1" fillId="3" borderId="0" xfId="0" applyFont="1" applyFill="1"/>
    <xf numFmtId="0" fontId="0" fillId="4" borderId="0" xfId="0" applyFill="1"/>
    <xf numFmtId="9" fontId="0" fillId="0" borderId="0" xfId="0" applyNumberFormat="1"/>
    <xf numFmtId="10" fontId="0" fillId="4" borderId="0" xfId="0" applyNumberFormat="1" applyFill="1"/>
    <xf numFmtId="0" fontId="1" fillId="4" borderId="0" xfId="0" applyFont="1" applyFill="1"/>
    <xf numFmtId="164" fontId="0" fillId="4" borderId="0" xfId="0" applyNumberFormat="1" applyFill="1"/>
    <xf numFmtId="0" fontId="6" fillId="0" borderId="0" xfId="1"/>
    <xf numFmtId="0" fontId="0" fillId="0" borderId="6" xfId="0" applyBorder="1"/>
    <xf numFmtId="14" fontId="0" fillId="6" borderId="6" xfId="0" applyNumberFormat="1" applyFill="1" applyBorder="1"/>
    <xf numFmtId="3" fontId="0" fillId="6" borderId="6" xfId="0" applyNumberFormat="1" applyFill="1" applyBorder="1"/>
    <xf numFmtId="3" fontId="1" fillId="6" borderId="6" xfId="0" applyNumberFormat="1" applyFont="1" applyFill="1" applyBorder="1"/>
    <xf numFmtId="4" fontId="0" fillId="6" borderId="6" xfId="0" applyNumberFormat="1" applyFill="1" applyBorder="1"/>
    <xf numFmtId="0" fontId="0" fillId="6" borderId="6" xfId="0" applyFill="1" applyBorder="1"/>
    <xf numFmtId="3" fontId="0" fillId="6" borderId="7" xfId="0" applyNumberFormat="1" applyFill="1" applyBorder="1"/>
    <xf numFmtId="0" fontId="7" fillId="0" borderId="0" xfId="0" applyFont="1"/>
    <xf numFmtId="3" fontId="3" fillId="6" borderId="6" xfId="0" applyNumberFormat="1" applyFont="1" applyFill="1" applyBorder="1"/>
    <xf numFmtId="3" fontId="8" fillId="0" borderId="0" xfId="0" applyNumberFormat="1" applyFont="1"/>
    <xf numFmtId="0" fontId="9" fillId="0" borderId="0" xfId="0" applyFont="1"/>
    <xf numFmtId="0" fontId="2" fillId="7" borderId="1" xfId="0" applyFont="1" applyFill="1" applyBorder="1"/>
    <xf numFmtId="0" fontId="0" fillId="7" borderId="1" xfId="0" applyFill="1" applyBorder="1"/>
    <xf numFmtId="9" fontId="0" fillId="7" borderId="1" xfId="0" applyNumberFormat="1" applyFill="1" applyBorder="1"/>
    <xf numFmtId="164" fontId="0" fillId="6" borderId="6" xfId="0" applyNumberFormat="1" applyFill="1" applyBorder="1"/>
    <xf numFmtId="3" fontId="3" fillId="6" borderId="8" xfId="0" applyNumberFormat="1" applyFont="1" applyFill="1" applyBorder="1"/>
    <xf numFmtId="0" fontId="0" fillId="0" borderId="9" xfId="0" applyBorder="1"/>
    <xf numFmtId="3" fontId="0" fillId="5" borderId="6" xfId="0" applyNumberFormat="1" applyFill="1" applyBorder="1"/>
    <xf numFmtId="0" fontId="0" fillId="5" borderId="6" xfId="0" applyFill="1" applyBorder="1"/>
    <xf numFmtId="3" fontId="1" fillId="5" borderId="6" xfId="0" applyNumberFormat="1" applyFont="1" applyFill="1" applyBorder="1"/>
    <xf numFmtId="4" fontId="0" fillId="5" borderId="6" xfId="0" applyNumberFormat="1" applyFill="1" applyBorder="1"/>
    <xf numFmtId="165" fontId="0" fillId="0" borderId="0" xfId="0" applyNumberFormat="1"/>
    <xf numFmtId="9" fontId="5" fillId="7" borderId="1" xfId="0" applyNumberFormat="1" applyFont="1" applyFill="1" applyBorder="1"/>
    <xf numFmtId="3" fontId="3" fillId="5" borderId="6" xfId="0" applyNumberFormat="1" applyFont="1" applyFill="1" applyBorder="1"/>
    <xf numFmtId="10" fontId="0" fillId="7" borderId="1" xfId="0" applyNumberFormat="1" applyFill="1" applyBorder="1"/>
    <xf numFmtId="3" fontId="0" fillId="7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8E5"/>
      <color rgb="FFF0F0F0"/>
      <color rgb="FFFBE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12</xdr:row>
      <xdr:rowOff>66130</xdr:rowOff>
    </xdr:from>
    <xdr:to>
      <xdr:col>21</xdr:col>
      <xdr:colOff>11339</xdr:colOff>
      <xdr:row>80</xdr:row>
      <xdr:rowOff>22678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85F8845-2CB8-2800-32E6-EEDC6014BF58}"/>
            </a:ext>
          </a:extLst>
        </xdr:cNvPr>
        <xdr:cNvCxnSpPr/>
      </xdr:nvCxnSpPr>
      <xdr:spPr>
        <a:xfrm>
          <a:off x="15160625" y="2243273"/>
          <a:ext cx="11339" cy="12293691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11339</xdr:colOff>
      <xdr:row>14</xdr:row>
      <xdr:rowOff>0</xdr:rowOff>
    </xdr:from>
    <xdr:to>
      <xdr:col>14</xdr:col>
      <xdr:colOff>11430</xdr:colOff>
      <xdr:row>79</xdr:row>
      <xdr:rowOff>170089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A535F53-B459-469C-B1A4-1BCAE361C47F}"/>
            </a:ext>
          </a:extLst>
        </xdr:cNvPr>
        <xdr:cNvCxnSpPr/>
      </xdr:nvCxnSpPr>
      <xdr:spPr>
        <a:xfrm flipH="1">
          <a:off x="10443482" y="2540000"/>
          <a:ext cx="91" cy="11962946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129857</xdr:colOff>
      <xdr:row>0</xdr:row>
      <xdr:rowOff>0</xdr:rowOff>
    </xdr:from>
    <xdr:to>
      <xdr:col>30</xdr:col>
      <xdr:colOff>249205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0F56F-F1EE-773D-7AB5-72E6ECFB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03182" y="0"/>
          <a:ext cx="713709" cy="1266825"/>
        </a:xfrm>
        <a:prstGeom prst="rect">
          <a:avLst/>
        </a:prstGeom>
      </xdr:spPr>
    </xdr:pic>
    <xdr:clientData/>
  </xdr:twoCellAnchor>
  <xdr:twoCellAnchor>
    <xdr:from>
      <xdr:col>11</xdr:col>
      <xdr:colOff>678453</xdr:colOff>
      <xdr:row>79</xdr:row>
      <xdr:rowOff>0</xdr:rowOff>
    </xdr:from>
    <xdr:to>
      <xdr:col>12</xdr:col>
      <xdr:colOff>0</xdr:colOff>
      <xdr:row>79</xdr:row>
      <xdr:rowOff>160655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D894CCE-20FC-4959-882D-C86FE42F9F21}"/>
            </a:ext>
          </a:extLst>
        </xdr:cNvPr>
        <xdr:cNvCxnSpPr/>
      </xdr:nvCxnSpPr>
      <xdr:spPr>
        <a:xfrm flipH="1">
          <a:off x="5894524" y="11634107"/>
          <a:ext cx="13244" cy="10660834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AW229"/>
  <sheetViews>
    <sheetView tabSelected="1" zoomScale="84" zoomScaleNormal="84" workbookViewId="0">
      <pane xSplit="3" ySplit="14" topLeftCell="D15" activePane="bottomRight" state="frozen"/>
      <selection pane="topRight" activeCell="D1" sqref="D1"/>
      <selection pane="bottomLeft" activeCell="A13" sqref="A13"/>
      <selection pane="bottomRight" activeCell="O6" sqref="O6"/>
    </sheetView>
  </sheetViews>
  <sheetFormatPr defaultRowHeight="14.4" x14ac:dyDescent="0.3"/>
  <cols>
    <col min="3" max="6" width="13.109375" customWidth="1"/>
    <col min="7" max="7" width="11.44140625" customWidth="1"/>
    <col min="8" max="9" width="10.109375" bestFit="1" customWidth="1"/>
    <col min="10" max="14" width="10.109375" customWidth="1"/>
    <col min="15" max="15" width="11.5546875" customWidth="1"/>
    <col min="16" max="16" width="7.77734375" customWidth="1"/>
    <col min="17" max="20" width="9.6640625" bestFit="1" customWidth="1"/>
    <col min="21" max="21" width="10.5546875" customWidth="1"/>
    <col min="25" max="25" width="10.5546875" customWidth="1"/>
    <col min="28" max="28" width="1.5546875" customWidth="1"/>
    <col min="29" max="29" width="1" customWidth="1"/>
    <col min="32" max="32" width="7.33203125" customWidth="1"/>
  </cols>
  <sheetData>
    <row r="1" spans="1:49" x14ac:dyDescent="0.3">
      <c r="A1" s="12" t="s">
        <v>99</v>
      </c>
      <c r="B1" s="12"/>
      <c r="C1" s="12"/>
      <c r="D1" s="12"/>
      <c r="E1" s="12"/>
      <c r="F1" s="12"/>
      <c r="G1" s="12"/>
      <c r="H1" s="12"/>
      <c r="I1" s="12"/>
      <c r="J1" s="12" t="s">
        <v>68</v>
      </c>
      <c r="K1" s="12"/>
      <c r="L1" s="12"/>
      <c r="M1" s="12"/>
      <c r="N1" s="12"/>
      <c r="O1" s="12"/>
      <c r="P1" s="12"/>
      <c r="Q1" s="12" t="s">
        <v>98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0"/>
      <c r="AC1" s="10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3">
      <c r="A2" s="14" t="s">
        <v>48</v>
      </c>
      <c r="B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3">
      <c r="A3" s="9"/>
      <c r="B3" s="9"/>
      <c r="F3" s="21" t="s">
        <v>0</v>
      </c>
      <c r="G3" s="11"/>
      <c r="H3" t="s">
        <v>1</v>
      </c>
      <c r="I3" s="3">
        <v>418.5</v>
      </c>
      <c r="K3" s="27"/>
      <c r="M3" s="27"/>
      <c r="AB3" s="10"/>
      <c r="AC3" s="10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3">
      <c r="A4" s="19"/>
      <c r="B4" s="9"/>
      <c r="H4" t="s">
        <v>2</v>
      </c>
      <c r="I4" s="1">
        <v>3330</v>
      </c>
      <c r="K4" s="19"/>
      <c r="L4" s="2"/>
      <c r="N4" s="19"/>
      <c r="T4" s="2"/>
      <c r="Y4" s="2"/>
      <c r="AB4" s="10"/>
      <c r="AC4" s="10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3">
      <c r="A5" s="9"/>
      <c r="B5" s="9"/>
      <c r="H5" t="s">
        <v>3</v>
      </c>
      <c r="I5" s="1">
        <f>I4*I3</f>
        <v>1393605</v>
      </c>
      <c r="T5" s="38"/>
      <c r="Y5" s="38"/>
      <c r="AB5" s="10"/>
      <c r="AC5" s="10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3">
      <c r="A6" s="9"/>
      <c r="B6" s="9"/>
      <c r="H6" t="s">
        <v>4</v>
      </c>
      <c r="I6" s="1">
        <v>4165</v>
      </c>
      <c r="AB6" s="10"/>
      <c r="AC6" s="10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3">
      <c r="A7" s="9"/>
      <c r="B7" s="9"/>
      <c r="H7" t="s">
        <v>5</v>
      </c>
      <c r="I7" s="1">
        <v>1379</v>
      </c>
      <c r="AB7" s="10"/>
      <c r="AC7" s="10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3">
      <c r="A8" s="9"/>
      <c r="B8" s="9"/>
      <c r="H8" t="s">
        <v>6</v>
      </c>
      <c r="I8" s="1">
        <f>I5+I7-I6</f>
        <v>1390819</v>
      </c>
      <c r="AB8" s="10"/>
      <c r="AC8" s="10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3">
      <c r="A9" s="9"/>
      <c r="B9" s="9"/>
      <c r="I9" s="1"/>
      <c r="W9" s="23"/>
      <c r="X9" s="23"/>
      <c r="AB9" s="10"/>
      <c r="AC9" s="10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3">
      <c r="A10" s="9"/>
      <c r="B10" s="9"/>
      <c r="N10" s="1"/>
      <c r="AB10" s="10"/>
      <c r="AC10" s="10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3">
      <c r="A11" s="9"/>
      <c r="B11" s="9"/>
      <c r="D11" s="18" t="s">
        <v>49</v>
      </c>
      <c r="H11" s="18"/>
      <c r="J11" s="18"/>
      <c r="K11" s="18"/>
      <c r="Q11" s="18" t="s">
        <v>50</v>
      </c>
      <c r="S11" s="18"/>
      <c r="V11" s="35" t="s">
        <v>91</v>
      </c>
      <c r="AB11" s="10"/>
      <c r="AC11" s="10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3">
      <c r="A12" s="12" t="s">
        <v>63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0"/>
      <c r="AC12" s="10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3">
      <c r="A13" s="9"/>
      <c r="B13" s="9"/>
      <c r="C13" s="2" t="s">
        <v>62</v>
      </c>
      <c r="D13" t="s">
        <v>106</v>
      </c>
      <c r="E13" t="s">
        <v>101</v>
      </c>
      <c r="F13" t="s">
        <v>100</v>
      </c>
      <c r="G13" t="s">
        <v>102</v>
      </c>
      <c r="H13" t="s">
        <v>55</v>
      </c>
      <c r="I13" t="s">
        <v>51</v>
      </c>
      <c r="J13" t="s">
        <v>47</v>
      </c>
      <c r="K13" t="s">
        <v>54</v>
      </c>
      <c r="L13" t="s">
        <v>11</v>
      </c>
      <c r="M13" t="s">
        <v>12</v>
      </c>
      <c r="N13" s="28" t="s">
        <v>13</v>
      </c>
      <c r="O13" t="s">
        <v>14</v>
      </c>
      <c r="Q13" t="s">
        <v>59</v>
      </c>
      <c r="R13" t="s">
        <v>58</v>
      </c>
      <c r="S13" t="s">
        <v>15</v>
      </c>
      <c r="T13" t="s">
        <v>16</v>
      </c>
      <c r="U13" t="s">
        <v>17</v>
      </c>
      <c r="V13" t="s">
        <v>18</v>
      </c>
      <c r="W13" t="s">
        <v>19</v>
      </c>
      <c r="X13" t="s">
        <v>56</v>
      </c>
      <c r="Y13" t="s">
        <v>57</v>
      </c>
      <c r="Z13" t="s">
        <v>89</v>
      </c>
      <c r="AA13" t="s">
        <v>90</v>
      </c>
      <c r="AB13" s="10"/>
      <c r="AC13" s="10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3">
      <c r="A14" s="9"/>
      <c r="B14" s="9"/>
      <c r="D14" s="13">
        <v>45016</v>
      </c>
      <c r="E14" s="13">
        <v>45107</v>
      </c>
      <c r="F14" s="13">
        <v>45199</v>
      </c>
      <c r="G14" t="s">
        <v>72</v>
      </c>
      <c r="H14" s="13">
        <v>45382</v>
      </c>
      <c r="I14" s="13">
        <v>45473</v>
      </c>
      <c r="J14" s="13">
        <v>45565</v>
      </c>
      <c r="K14" s="13" t="s">
        <v>73</v>
      </c>
      <c r="L14" s="13">
        <v>45747</v>
      </c>
      <c r="M14" s="13">
        <v>45838</v>
      </c>
      <c r="N14" s="29">
        <v>45930</v>
      </c>
      <c r="O14" s="13" t="s">
        <v>74</v>
      </c>
      <c r="P14" s="13"/>
      <c r="Q14" s="13" t="s">
        <v>69</v>
      </c>
      <c r="R14" s="13" t="s">
        <v>70</v>
      </c>
      <c r="S14" s="13" t="s">
        <v>71</v>
      </c>
      <c r="T14" s="13" t="s">
        <v>72</v>
      </c>
      <c r="U14" s="13" t="s">
        <v>73</v>
      </c>
      <c r="V14" s="13" t="s">
        <v>74</v>
      </c>
      <c r="W14" s="13" t="s">
        <v>92</v>
      </c>
      <c r="X14" s="13" t="s">
        <v>93</v>
      </c>
      <c r="Y14" s="13" t="s">
        <v>94</v>
      </c>
      <c r="Z14" s="13" t="s">
        <v>95</v>
      </c>
      <c r="AA14" s="13" t="s">
        <v>96</v>
      </c>
      <c r="AB14" s="10"/>
      <c r="AC14" s="10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3">
      <c r="A15" s="7" t="s">
        <v>7</v>
      </c>
      <c r="B15" s="8"/>
      <c r="C15" t="s">
        <v>84</v>
      </c>
      <c r="D15">
        <v>19963</v>
      </c>
      <c r="E15" s="1">
        <v>21268</v>
      </c>
      <c r="F15" s="1">
        <v>19625</v>
      </c>
      <c r="G15" s="1">
        <f>82419-60856</f>
        <v>21563</v>
      </c>
      <c r="H15" s="1">
        <v>17378</v>
      </c>
      <c r="I15" s="1">
        <v>19878</v>
      </c>
      <c r="J15" s="1">
        <v>20016</v>
      </c>
      <c r="K15" s="1">
        <f>77070-57272</f>
        <v>19798</v>
      </c>
      <c r="L15" s="1">
        <v>13967</v>
      </c>
      <c r="M15" s="1">
        <v>16661</v>
      </c>
      <c r="N15" s="30">
        <v>21205</v>
      </c>
      <c r="O15" s="1"/>
      <c r="P15" s="1"/>
      <c r="Q15" s="1">
        <v>27236</v>
      </c>
      <c r="R15" s="1">
        <v>47232</v>
      </c>
      <c r="S15" s="1">
        <v>71462</v>
      </c>
      <c r="T15" s="1">
        <v>82419</v>
      </c>
      <c r="U15" s="1">
        <v>77070</v>
      </c>
      <c r="V15" s="45"/>
      <c r="W15" s="46"/>
      <c r="X15" s="46"/>
      <c r="Y15" s="46"/>
      <c r="Z15" s="46"/>
      <c r="AA15" s="46"/>
      <c r="AB15" s="44"/>
      <c r="AC15" s="10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3">
      <c r="A16" s="9"/>
      <c r="B16" s="9"/>
      <c r="C16" t="s">
        <v>85</v>
      </c>
      <c r="D16">
        <v>1529</v>
      </c>
      <c r="E16" s="1">
        <v>1509</v>
      </c>
      <c r="F16" s="1">
        <v>1559</v>
      </c>
      <c r="G16" s="1">
        <f>6035-4597</f>
        <v>1438</v>
      </c>
      <c r="H16" s="1">
        <v>1635</v>
      </c>
      <c r="I16" s="1">
        <v>3014</v>
      </c>
      <c r="J16" s="1">
        <v>2376</v>
      </c>
      <c r="K16" s="1">
        <f>10086-7025</f>
        <v>3061</v>
      </c>
      <c r="L16" s="1">
        <v>2730</v>
      </c>
      <c r="M16" s="1">
        <v>2789</v>
      </c>
      <c r="N16" s="30">
        <v>3415</v>
      </c>
      <c r="O16" s="1"/>
      <c r="P16" s="1"/>
      <c r="Q16" s="1">
        <v>1994</v>
      </c>
      <c r="R16" s="1">
        <v>2789</v>
      </c>
      <c r="S16" s="1">
        <v>3909</v>
      </c>
      <c r="T16" s="1">
        <v>6035</v>
      </c>
      <c r="U16" s="1">
        <v>10086</v>
      </c>
      <c r="V16" s="46"/>
      <c r="W16" s="46"/>
      <c r="X16" s="46"/>
      <c r="Y16" s="46"/>
      <c r="Z16" s="46"/>
      <c r="AA16" s="46"/>
      <c r="AB16" s="44"/>
      <c r="AC16" s="10"/>
      <c r="AD16" s="9"/>
      <c r="AE16" s="39" t="s">
        <v>112</v>
      </c>
      <c r="AF16" s="40"/>
      <c r="AG16" s="40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3">
      <c r="A17" s="9"/>
      <c r="B17" s="9"/>
      <c r="C17" t="s">
        <v>86</v>
      </c>
      <c r="D17">
        <v>1837</v>
      </c>
      <c r="E17" s="1">
        <v>2150</v>
      </c>
      <c r="F17" s="1">
        <v>2166</v>
      </c>
      <c r="G17" s="1">
        <f>8319-6153</f>
        <v>2166</v>
      </c>
      <c r="H17" s="1">
        <v>2288</v>
      </c>
      <c r="I17" s="1">
        <v>2608</v>
      </c>
      <c r="J17" s="1">
        <v>2790</v>
      </c>
      <c r="K17" s="1">
        <f>10534-7686</f>
        <v>2848</v>
      </c>
      <c r="L17" s="1">
        <v>2638</v>
      </c>
      <c r="M17" s="1">
        <v>3046</v>
      </c>
      <c r="N17" s="30">
        <v>3475</v>
      </c>
      <c r="O17" s="1"/>
      <c r="P17" s="1"/>
      <c r="Q17" s="1">
        <v>2306</v>
      </c>
      <c r="R17" s="1">
        <v>3802</v>
      </c>
      <c r="S17" s="1">
        <v>6091</v>
      </c>
      <c r="T17" s="1">
        <v>8319</v>
      </c>
      <c r="U17" s="1">
        <v>10534</v>
      </c>
      <c r="V17" s="46"/>
      <c r="W17" s="46"/>
      <c r="X17" s="46"/>
      <c r="Y17" s="46"/>
      <c r="Z17" s="46"/>
      <c r="AA17" s="46"/>
      <c r="AB17" s="44"/>
      <c r="AC17" s="10"/>
      <c r="AD17" s="9"/>
      <c r="AE17" s="40" t="s">
        <v>8</v>
      </c>
      <c r="AF17" s="52">
        <v>0.1</v>
      </c>
      <c r="AG17" s="50" t="s">
        <v>110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3">
      <c r="A18" s="9"/>
      <c r="B18" s="9"/>
      <c r="C18" s="2" t="s">
        <v>97</v>
      </c>
      <c r="D18" s="36">
        <f t="shared" ref="D18:M18" si="0">SUM(D15:D17)</f>
        <v>23329</v>
      </c>
      <c r="E18" s="36">
        <f t="shared" si="0"/>
        <v>24927</v>
      </c>
      <c r="F18" s="36">
        <f t="shared" si="0"/>
        <v>23350</v>
      </c>
      <c r="G18" s="36">
        <f t="shared" si="0"/>
        <v>25167</v>
      </c>
      <c r="H18" s="36">
        <f t="shared" si="0"/>
        <v>21301</v>
      </c>
      <c r="I18" s="36">
        <f t="shared" si="0"/>
        <v>25500</v>
      </c>
      <c r="J18" s="36">
        <f t="shared" si="0"/>
        <v>25182</v>
      </c>
      <c r="K18" s="36">
        <f t="shared" si="0"/>
        <v>25707</v>
      </c>
      <c r="L18" s="36">
        <f t="shared" si="0"/>
        <v>19335</v>
      </c>
      <c r="M18" s="36">
        <f t="shared" si="0"/>
        <v>22496</v>
      </c>
      <c r="N18" s="36">
        <f>SUM(N15:N17)</f>
        <v>28095</v>
      </c>
      <c r="O18" s="49"/>
      <c r="P18" s="37">
        <v>24578</v>
      </c>
      <c r="Q18" s="36">
        <f t="shared" ref="Q18:U18" si="1">SUM(Q15:Q17)</f>
        <v>31536</v>
      </c>
      <c r="R18" s="36">
        <f t="shared" si="1"/>
        <v>53823</v>
      </c>
      <c r="S18" s="36">
        <f t="shared" si="1"/>
        <v>81462</v>
      </c>
      <c r="T18" s="36">
        <f t="shared" si="1"/>
        <v>96773</v>
      </c>
      <c r="U18" s="43">
        <f t="shared" si="1"/>
        <v>97690</v>
      </c>
      <c r="V18" s="51">
        <f>98000</f>
        <v>98000</v>
      </c>
      <c r="W18" s="51">
        <f>V18*1.1</f>
        <v>107800.00000000001</v>
      </c>
      <c r="X18" s="51">
        <f>W18*1.1</f>
        <v>118580.00000000003</v>
      </c>
      <c r="Y18" s="51">
        <f>X18*1.1</f>
        <v>130438.00000000004</v>
      </c>
      <c r="Z18" s="51">
        <f>Y18*1.1</f>
        <v>143481.80000000005</v>
      </c>
      <c r="AA18" s="51">
        <f>Z18*1.1</f>
        <v>157829.98000000007</v>
      </c>
      <c r="AB18" s="44"/>
      <c r="AC18" s="10"/>
      <c r="AD18" s="9"/>
      <c r="AE18" s="40" t="s">
        <v>9</v>
      </c>
      <c r="AF18" s="52">
        <v>0.82399999999999995</v>
      </c>
      <c r="AG18" s="41" t="s">
        <v>114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x14ac:dyDescent="0.3">
      <c r="A19" s="9"/>
      <c r="B19" s="9"/>
      <c r="C19" t="s">
        <v>9</v>
      </c>
      <c r="D19">
        <v>18818</v>
      </c>
      <c r="E19" s="33">
        <v>20394</v>
      </c>
      <c r="F19" s="33">
        <v>19172</v>
      </c>
      <c r="G19" s="33">
        <f>79113-58384</f>
        <v>20729</v>
      </c>
      <c r="H19" s="33">
        <v>17605</v>
      </c>
      <c r="I19" s="30">
        <v>20922</v>
      </c>
      <c r="J19" s="1">
        <v>20185</v>
      </c>
      <c r="K19" s="30">
        <f>80240-58712</f>
        <v>21528</v>
      </c>
      <c r="L19" s="1">
        <v>16182</v>
      </c>
      <c r="M19" s="1">
        <v>18618</v>
      </c>
      <c r="N19" s="30">
        <v>23041</v>
      </c>
      <c r="O19" s="23"/>
      <c r="Q19" s="1">
        <v>24906</v>
      </c>
      <c r="R19">
        <v>40217</v>
      </c>
      <c r="S19" s="1">
        <v>60609</v>
      </c>
      <c r="T19" s="1">
        <v>79113</v>
      </c>
      <c r="U19" s="1">
        <v>80240</v>
      </c>
      <c r="V19" s="45">
        <f>V18*0.824</f>
        <v>80752</v>
      </c>
      <c r="W19" s="45">
        <f t="shared" ref="W19:AA19" si="2">W18*0.8</f>
        <v>86240.000000000015</v>
      </c>
      <c r="X19" s="45">
        <f t="shared" si="2"/>
        <v>94864.000000000029</v>
      </c>
      <c r="Y19" s="45">
        <f t="shared" si="2"/>
        <v>104350.40000000004</v>
      </c>
      <c r="Z19" s="45">
        <f t="shared" si="2"/>
        <v>114785.44000000005</v>
      </c>
      <c r="AA19" s="45">
        <f t="shared" si="2"/>
        <v>126263.98400000005</v>
      </c>
      <c r="AB19" s="44"/>
      <c r="AC19" s="10"/>
      <c r="AD19" s="9"/>
      <c r="AE19" s="40" t="s">
        <v>66</v>
      </c>
      <c r="AF19" s="52">
        <v>4.4999999999999998E-2</v>
      </c>
      <c r="AG19" s="41" t="s">
        <v>114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3">
      <c r="A20" s="9"/>
      <c r="B20" s="9"/>
      <c r="C20" t="s">
        <v>10</v>
      </c>
      <c r="D20" s="30">
        <f t="shared" ref="D20:G20" si="3">D18-D19</f>
        <v>4511</v>
      </c>
      <c r="E20" s="30">
        <f t="shared" si="3"/>
        <v>4533</v>
      </c>
      <c r="F20" s="30">
        <f t="shared" si="3"/>
        <v>4178</v>
      </c>
      <c r="G20" s="30">
        <f t="shared" si="3"/>
        <v>4438</v>
      </c>
      <c r="H20" s="30">
        <f t="shared" ref="H20:N20" si="4">H18-H19</f>
        <v>3696</v>
      </c>
      <c r="I20" s="30">
        <f t="shared" si="4"/>
        <v>4578</v>
      </c>
      <c r="J20" s="1">
        <f t="shared" si="4"/>
        <v>4997</v>
      </c>
      <c r="K20" s="30">
        <f t="shared" si="4"/>
        <v>4179</v>
      </c>
      <c r="L20" s="1">
        <f t="shared" si="4"/>
        <v>3153</v>
      </c>
      <c r="M20" s="1">
        <f t="shared" si="4"/>
        <v>3878</v>
      </c>
      <c r="N20" s="30">
        <f t="shared" si="4"/>
        <v>5054</v>
      </c>
      <c r="O20" s="23"/>
      <c r="Q20" s="1">
        <f t="shared" ref="Q20:R20" si="5">Q18-Q19</f>
        <v>6630</v>
      </c>
      <c r="R20" s="1">
        <f t="shared" si="5"/>
        <v>13606</v>
      </c>
      <c r="S20" s="1">
        <f t="shared" ref="S20:Z20" si="6">S18-S19</f>
        <v>20853</v>
      </c>
      <c r="T20" s="1">
        <f t="shared" si="6"/>
        <v>17660</v>
      </c>
      <c r="U20" s="1">
        <f t="shared" si="6"/>
        <v>17450</v>
      </c>
      <c r="V20" s="45">
        <f t="shared" si="6"/>
        <v>17248</v>
      </c>
      <c r="W20" s="45">
        <f t="shared" si="6"/>
        <v>21560</v>
      </c>
      <c r="X20" s="45">
        <f t="shared" si="6"/>
        <v>23716</v>
      </c>
      <c r="Y20" s="45">
        <f t="shared" si="6"/>
        <v>26087.600000000006</v>
      </c>
      <c r="Z20" s="45">
        <f t="shared" si="6"/>
        <v>28696.36</v>
      </c>
      <c r="AA20" s="45">
        <f t="shared" ref="AA20" si="7">AA18-AA19</f>
        <v>31565.996000000014</v>
      </c>
      <c r="AB20" s="44"/>
      <c r="AC20" s="10"/>
      <c r="AD20" s="9"/>
      <c r="AE20" s="40" t="s">
        <v>20</v>
      </c>
      <c r="AF20" s="52">
        <v>0.06</v>
      </c>
      <c r="AG20" s="41" t="s">
        <v>114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x14ac:dyDescent="0.3">
      <c r="A21" s="9"/>
      <c r="B21" s="9"/>
      <c r="C21" t="s">
        <v>66</v>
      </c>
      <c r="D21">
        <v>771</v>
      </c>
      <c r="E21" s="30">
        <v>943</v>
      </c>
      <c r="F21" s="30">
        <v>1161</v>
      </c>
      <c r="G21" s="30">
        <f>3969-2875</f>
        <v>1094</v>
      </c>
      <c r="H21" s="30">
        <v>1151</v>
      </c>
      <c r="I21" s="30">
        <v>1074</v>
      </c>
      <c r="J21" s="1">
        <v>1039</v>
      </c>
      <c r="K21" s="30">
        <f>4540-3264</f>
        <v>1276</v>
      </c>
      <c r="L21" s="1">
        <v>1409</v>
      </c>
      <c r="M21" s="1">
        <v>1589</v>
      </c>
      <c r="N21" s="30">
        <v>1630</v>
      </c>
      <c r="O21" s="23"/>
      <c r="Q21" s="1">
        <v>1491</v>
      </c>
      <c r="R21" s="1">
        <v>2593</v>
      </c>
      <c r="S21" s="1">
        <v>3075</v>
      </c>
      <c r="T21" s="1">
        <v>3969</v>
      </c>
      <c r="U21" s="1">
        <v>4540</v>
      </c>
      <c r="V21" s="45">
        <f>V18*0.045</f>
        <v>4410</v>
      </c>
      <c r="W21" s="45">
        <f t="shared" ref="W21:Z21" si="8">W18*0.046</f>
        <v>4958.8</v>
      </c>
      <c r="X21" s="45">
        <f t="shared" si="8"/>
        <v>5454.6800000000012</v>
      </c>
      <c r="Y21" s="45">
        <f t="shared" si="8"/>
        <v>6000.148000000002</v>
      </c>
      <c r="Z21" s="45">
        <f t="shared" si="8"/>
        <v>6600.1628000000019</v>
      </c>
      <c r="AA21" s="45">
        <f t="shared" ref="AA21" si="9">AA18*0.046</f>
        <v>7260.1790800000026</v>
      </c>
      <c r="AB21" s="44"/>
      <c r="AC21" s="10"/>
      <c r="AD21" s="9"/>
      <c r="AE21" s="40" t="s">
        <v>44</v>
      </c>
      <c r="AF21" s="53">
        <v>500</v>
      </c>
      <c r="AG21" s="41" t="s">
        <v>111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3">
      <c r="A22" s="9"/>
      <c r="B22" s="9"/>
      <c r="C22" t="s">
        <v>20</v>
      </c>
      <c r="D22">
        <v>1076</v>
      </c>
      <c r="E22" s="30">
        <v>1191</v>
      </c>
      <c r="F22" s="30">
        <v>1253</v>
      </c>
      <c r="G22" s="30">
        <f>4800-3520</f>
        <v>1280</v>
      </c>
      <c r="H22" s="30">
        <v>1374</v>
      </c>
      <c r="I22" s="30">
        <v>1277</v>
      </c>
      <c r="J22" s="1">
        <v>1186</v>
      </c>
      <c r="K22" s="30">
        <f>5150-3837</f>
        <v>1313</v>
      </c>
      <c r="L22" s="1">
        <v>1251</v>
      </c>
      <c r="M22" s="1">
        <v>1366</v>
      </c>
      <c r="N22" s="30">
        <v>1562</v>
      </c>
      <c r="O22" s="23"/>
      <c r="Q22" s="1">
        <v>3145</v>
      </c>
      <c r="R22" s="1">
        <v>4517</v>
      </c>
      <c r="S22" s="1">
        <v>3946</v>
      </c>
      <c r="T22" s="1">
        <v>4800</v>
      </c>
      <c r="U22" s="1">
        <v>5150</v>
      </c>
      <c r="V22" s="45">
        <f>V18*0.06</f>
        <v>5880</v>
      </c>
      <c r="W22" s="45">
        <f t="shared" ref="W22:X22" si="10">W18*0.06</f>
        <v>6468.0000000000009</v>
      </c>
      <c r="X22" s="45">
        <f t="shared" si="10"/>
        <v>7114.8000000000011</v>
      </c>
      <c r="Y22" s="45">
        <f t="shared" ref="Y22:Z22" si="11">Y18*0.0669</f>
        <v>8726.3022000000037</v>
      </c>
      <c r="Z22" s="45">
        <f t="shared" si="11"/>
        <v>9598.9324200000028</v>
      </c>
      <c r="AA22" s="45">
        <f t="shared" ref="AA22" si="12">AA18*0.0669</f>
        <v>10558.825662000005</v>
      </c>
      <c r="AB22" s="44"/>
      <c r="AC22" s="10"/>
      <c r="AD22" s="9"/>
      <c r="AE22" s="40" t="s">
        <v>113</v>
      </c>
      <c r="AF22" s="52" t="s">
        <v>116</v>
      </c>
      <c r="AG22" s="41" t="s">
        <v>111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x14ac:dyDescent="0.3">
      <c r="A23" s="9"/>
      <c r="B23" s="9"/>
      <c r="C23" t="s">
        <v>52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622</v>
      </c>
      <c r="J23" s="1">
        <v>55</v>
      </c>
      <c r="K23" s="30">
        <f>684-677</f>
        <v>7</v>
      </c>
      <c r="L23" s="1">
        <v>94</v>
      </c>
      <c r="M23" s="1">
        <v>0</v>
      </c>
      <c r="N23" s="30">
        <v>238</v>
      </c>
      <c r="O23" s="23"/>
      <c r="Q23" s="1">
        <v>0</v>
      </c>
      <c r="R23" s="1">
        <v>-27</v>
      </c>
      <c r="S23" s="1">
        <v>176</v>
      </c>
      <c r="T23" s="1">
        <v>0</v>
      </c>
      <c r="U23" s="1">
        <v>684</v>
      </c>
      <c r="V23" s="45">
        <v>500</v>
      </c>
      <c r="W23" s="45">
        <v>500</v>
      </c>
      <c r="X23" s="45">
        <v>500</v>
      </c>
      <c r="Y23" s="45">
        <v>500</v>
      </c>
      <c r="Z23" s="45">
        <v>500</v>
      </c>
      <c r="AA23" s="45">
        <v>500</v>
      </c>
      <c r="AB23" s="44"/>
      <c r="AC23" s="10"/>
      <c r="AD23" s="9"/>
      <c r="AE23" s="40" t="s">
        <v>25</v>
      </c>
      <c r="AF23" s="40" t="s">
        <v>115</v>
      </c>
      <c r="AG23" s="41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3">
      <c r="A24" s="9"/>
      <c r="B24" s="9"/>
      <c r="C24" t="s">
        <v>21</v>
      </c>
      <c r="D24" s="30">
        <f t="shared" ref="D24" si="13">SUM(D21:D23)</f>
        <v>1847</v>
      </c>
      <c r="E24" s="30">
        <f t="shared" ref="E24:G24" si="14">SUM(E21:E23)</f>
        <v>2134</v>
      </c>
      <c r="F24" s="30">
        <f t="shared" si="14"/>
        <v>2414</v>
      </c>
      <c r="G24" s="30">
        <f t="shared" si="14"/>
        <v>2374</v>
      </c>
      <c r="H24" s="30">
        <f t="shared" ref="H24:M24" si="15">SUM(H21:H23)</f>
        <v>2525</v>
      </c>
      <c r="I24" s="30">
        <f t="shared" si="15"/>
        <v>2973</v>
      </c>
      <c r="J24" s="1">
        <f t="shared" si="15"/>
        <v>2280</v>
      </c>
      <c r="K24" s="31">
        <f t="shared" si="15"/>
        <v>2596</v>
      </c>
      <c r="L24" s="1">
        <f t="shared" si="15"/>
        <v>2754</v>
      </c>
      <c r="M24" s="1">
        <f t="shared" si="15"/>
        <v>2955</v>
      </c>
      <c r="N24" s="30">
        <f>SUM(N21:N23)</f>
        <v>3430</v>
      </c>
      <c r="O24" s="23"/>
      <c r="Q24" s="1">
        <f t="shared" ref="Q24:T24" si="16">SUM(Q21:Q23)</f>
        <v>4636</v>
      </c>
      <c r="R24" s="1">
        <f t="shared" si="16"/>
        <v>7083</v>
      </c>
      <c r="S24" s="1">
        <f t="shared" si="16"/>
        <v>7197</v>
      </c>
      <c r="T24" s="1">
        <f t="shared" si="16"/>
        <v>8769</v>
      </c>
      <c r="U24" s="1">
        <f>SUM(U21:U23)</f>
        <v>10374</v>
      </c>
      <c r="V24" s="45">
        <f t="shared" ref="V24:AA24" si="17">SUM(V21:V23)</f>
        <v>10790</v>
      </c>
      <c r="W24" s="45">
        <f t="shared" si="17"/>
        <v>11926.800000000001</v>
      </c>
      <c r="X24" s="45">
        <f t="shared" si="17"/>
        <v>13069.480000000003</v>
      </c>
      <c r="Y24" s="45">
        <f t="shared" si="17"/>
        <v>15226.450200000007</v>
      </c>
      <c r="Z24" s="45">
        <f t="shared" si="17"/>
        <v>16699.095220000003</v>
      </c>
      <c r="AA24" s="45">
        <f t="shared" si="17"/>
        <v>18319.004742000008</v>
      </c>
      <c r="AB24" s="44"/>
      <c r="AC24" s="10"/>
      <c r="AD24" s="9"/>
      <c r="AE24" s="40" t="s">
        <v>117</v>
      </c>
      <c r="AF24" s="40">
        <v>3600</v>
      </c>
      <c r="AG24" s="41" t="s">
        <v>118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3">
      <c r="A25" s="9"/>
      <c r="B25" s="9"/>
      <c r="C25" t="s">
        <v>22</v>
      </c>
      <c r="D25" s="30">
        <f t="shared" ref="D25" si="18">D20-D24</f>
        <v>2664</v>
      </c>
      <c r="E25" s="30">
        <f t="shared" ref="E25:G25" si="19">E20-E24</f>
        <v>2399</v>
      </c>
      <c r="F25" s="30">
        <f t="shared" si="19"/>
        <v>1764</v>
      </c>
      <c r="G25" s="30">
        <f t="shared" si="19"/>
        <v>2064</v>
      </c>
      <c r="H25" s="30">
        <f t="shared" ref="H25:N25" si="20">H20-H24</f>
        <v>1171</v>
      </c>
      <c r="I25" s="30">
        <f t="shared" si="20"/>
        <v>1605</v>
      </c>
      <c r="J25" s="1">
        <f t="shared" si="20"/>
        <v>2717</v>
      </c>
      <c r="K25" s="30">
        <f t="shared" si="20"/>
        <v>1583</v>
      </c>
      <c r="L25" s="1">
        <f t="shared" si="20"/>
        <v>399</v>
      </c>
      <c r="M25" s="1">
        <f t="shared" si="20"/>
        <v>923</v>
      </c>
      <c r="N25" s="30">
        <f t="shared" si="20"/>
        <v>1624</v>
      </c>
      <c r="O25" s="23"/>
      <c r="P25" s="1"/>
      <c r="Q25" s="1">
        <f t="shared" ref="Q25:R25" si="21">Q20-Q24</f>
        <v>1994</v>
      </c>
      <c r="R25" s="1">
        <f t="shared" si="21"/>
        <v>6523</v>
      </c>
      <c r="S25" s="1">
        <f t="shared" ref="S25:T25" si="22">S20-S24</f>
        <v>13656</v>
      </c>
      <c r="T25" s="1">
        <f t="shared" si="22"/>
        <v>8891</v>
      </c>
      <c r="U25" s="1">
        <f>U20-U24</f>
        <v>7076</v>
      </c>
      <c r="V25" s="45">
        <f t="shared" ref="V25:AA25" si="23">V20-V24</f>
        <v>6458</v>
      </c>
      <c r="W25" s="45">
        <f t="shared" si="23"/>
        <v>9633.1999999999989</v>
      </c>
      <c r="X25" s="45">
        <f t="shared" si="23"/>
        <v>10646.519999999997</v>
      </c>
      <c r="Y25" s="45">
        <f t="shared" si="23"/>
        <v>10861.149799999999</v>
      </c>
      <c r="Z25" s="45">
        <f t="shared" si="23"/>
        <v>11997.264779999998</v>
      </c>
      <c r="AA25" s="45">
        <f t="shared" si="23"/>
        <v>13246.991258000005</v>
      </c>
      <c r="AB25" s="44"/>
      <c r="AC25" s="10"/>
      <c r="AD25" s="9"/>
      <c r="AE25" s="40"/>
      <c r="AF25" s="40"/>
      <c r="AG25" s="41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3">
      <c r="A26" s="9"/>
      <c r="B26" s="9"/>
      <c r="C26" t="s">
        <v>23</v>
      </c>
      <c r="D26" s="30">
        <f>213-29</f>
        <v>184</v>
      </c>
      <c r="E26" s="30">
        <f>238-28</f>
        <v>210</v>
      </c>
      <c r="F26" s="30">
        <f>282-38</f>
        <v>244</v>
      </c>
      <c r="G26" s="30">
        <f>910-638</f>
        <v>272</v>
      </c>
      <c r="H26" s="30">
        <f>350-76</f>
        <v>274</v>
      </c>
      <c r="I26" s="30">
        <f>348-86</f>
        <v>262</v>
      </c>
      <c r="J26" s="1">
        <f>429-92</f>
        <v>337</v>
      </c>
      <c r="K26" s="30">
        <f>1219-873</f>
        <v>346</v>
      </c>
      <c r="L26" s="1">
        <f>400-91</f>
        <v>309</v>
      </c>
      <c r="M26" s="1">
        <f>392-86</f>
        <v>306</v>
      </c>
      <c r="N26" s="30">
        <f>439-76</f>
        <v>363</v>
      </c>
      <c r="Q26" s="1">
        <f>-748+30</f>
        <v>-718</v>
      </c>
      <c r="R26" s="1">
        <f>-371+56</f>
        <v>-315</v>
      </c>
      <c r="S26" s="1">
        <f>297-191</f>
        <v>106</v>
      </c>
      <c r="T26" s="1">
        <f>1066-156</f>
        <v>910</v>
      </c>
      <c r="U26" s="1">
        <f>1569-350</f>
        <v>1219</v>
      </c>
      <c r="V26" s="45">
        <f>AVERAGE(S26:U26)</f>
        <v>745</v>
      </c>
      <c r="W26" s="45">
        <f>V26*1.34</f>
        <v>998.30000000000007</v>
      </c>
      <c r="X26" s="45">
        <f>W26*1.34</f>
        <v>1337.7220000000002</v>
      </c>
      <c r="Y26" s="45">
        <f>X26*1.34</f>
        <v>1792.5474800000004</v>
      </c>
      <c r="Z26" s="45">
        <f>Y26*1.34</f>
        <v>2402.0136232000009</v>
      </c>
      <c r="AA26" s="45">
        <f>Z26*1.34</f>
        <v>3218.6982550880016</v>
      </c>
      <c r="AB26" s="44"/>
      <c r="AC26" s="10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3">
      <c r="A27" s="9"/>
      <c r="B27" s="9"/>
      <c r="C27" t="s">
        <v>53</v>
      </c>
      <c r="D27" s="30">
        <v>-48</v>
      </c>
      <c r="E27" s="30">
        <v>328</v>
      </c>
      <c r="F27" s="30">
        <v>37</v>
      </c>
      <c r="G27" s="30">
        <f>172-317</f>
        <v>-145</v>
      </c>
      <c r="H27" s="30">
        <v>443</v>
      </c>
      <c r="I27" s="30">
        <v>-80</v>
      </c>
      <c r="J27" s="1">
        <v>-270</v>
      </c>
      <c r="K27" s="30">
        <f>695-93</f>
        <v>602</v>
      </c>
      <c r="L27" s="1">
        <v>-119</v>
      </c>
      <c r="M27" s="1">
        <v>320</v>
      </c>
      <c r="N27" s="30">
        <v>-28</v>
      </c>
      <c r="Q27" s="1">
        <f>-122</f>
        <v>-122</v>
      </c>
      <c r="R27" s="1">
        <v>135</v>
      </c>
      <c r="S27" s="1">
        <v>-43</v>
      </c>
      <c r="T27" s="1">
        <v>172</v>
      </c>
      <c r="U27" s="1">
        <v>695</v>
      </c>
      <c r="V27" s="45">
        <f>U27*1.15</f>
        <v>799.24999999999989</v>
      </c>
      <c r="W27" s="45">
        <f t="shared" ref="W27:Z27" si="24">V27*1.15</f>
        <v>919.13749999999982</v>
      </c>
      <c r="X27" s="45">
        <f t="shared" si="24"/>
        <v>1057.0081249999996</v>
      </c>
      <c r="Y27" s="45">
        <f t="shared" si="24"/>
        <v>1215.5593437499995</v>
      </c>
      <c r="Z27" s="45">
        <f t="shared" si="24"/>
        <v>1397.8932453124992</v>
      </c>
      <c r="AA27" s="45">
        <f t="shared" ref="AA27" si="25">Z27*1.15</f>
        <v>1607.5772321093739</v>
      </c>
      <c r="AB27" s="44"/>
      <c r="AC27" s="10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3">
      <c r="A28" s="9"/>
      <c r="B28" s="9"/>
      <c r="C28" t="s">
        <v>24</v>
      </c>
      <c r="D28" s="30">
        <f t="shared" ref="D28:G28" si="26">D25+D26+D27</f>
        <v>2800</v>
      </c>
      <c r="E28" s="30">
        <f t="shared" si="26"/>
        <v>2937</v>
      </c>
      <c r="F28" s="30">
        <f t="shared" si="26"/>
        <v>2045</v>
      </c>
      <c r="G28" s="30">
        <f t="shared" si="26"/>
        <v>2191</v>
      </c>
      <c r="H28" s="30">
        <f>H25+H26+H27</f>
        <v>1888</v>
      </c>
      <c r="I28" s="30">
        <f>I25+I26+I27</f>
        <v>1787</v>
      </c>
      <c r="J28" s="1">
        <f t="shared" ref="J28:M28" si="27">J25+J26+J27</f>
        <v>2784</v>
      </c>
      <c r="K28" s="30">
        <f t="shared" si="27"/>
        <v>2531</v>
      </c>
      <c r="L28" s="1">
        <f t="shared" si="27"/>
        <v>589</v>
      </c>
      <c r="M28" s="1">
        <f t="shared" si="27"/>
        <v>1549</v>
      </c>
      <c r="N28" s="30">
        <f>N25+N26+N27</f>
        <v>1959</v>
      </c>
      <c r="Q28" s="1">
        <f t="shared" ref="Q28:Z28" si="28">Q25+Q26+Q27</f>
        <v>1154</v>
      </c>
      <c r="R28" s="1">
        <f t="shared" si="28"/>
        <v>6343</v>
      </c>
      <c r="S28" s="1">
        <f t="shared" si="28"/>
        <v>13719</v>
      </c>
      <c r="T28" s="1">
        <f t="shared" si="28"/>
        <v>9973</v>
      </c>
      <c r="U28" s="1">
        <f t="shared" si="28"/>
        <v>8990</v>
      </c>
      <c r="V28" s="45">
        <f t="shared" si="28"/>
        <v>8002.25</v>
      </c>
      <c r="W28" s="45">
        <f t="shared" si="28"/>
        <v>11550.637499999997</v>
      </c>
      <c r="X28" s="45">
        <f t="shared" si="28"/>
        <v>13041.250124999997</v>
      </c>
      <c r="Y28" s="45">
        <f t="shared" si="28"/>
        <v>13869.25662375</v>
      </c>
      <c r="Z28" s="45">
        <f t="shared" si="28"/>
        <v>15797.171648512498</v>
      </c>
      <c r="AA28" s="45">
        <f t="shared" ref="AA28" si="29">AA25+AA26+AA27</f>
        <v>18073.266745197383</v>
      </c>
      <c r="AB28" s="44"/>
      <c r="AC28" s="10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3">
      <c r="A29" s="9"/>
      <c r="B29" s="9"/>
      <c r="C29" t="s">
        <v>25</v>
      </c>
      <c r="D29" s="30">
        <v>261</v>
      </c>
      <c r="E29" s="30">
        <v>323</v>
      </c>
      <c r="F29" s="30">
        <v>167</v>
      </c>
      <c r="G29" s="30">
        <f>-5001-751</f>
        <v>-5752</v>
      </c>
      <c r="H29" s="30">
        <v>483</v>
      </c>
      <c r="I29" s="30">
        <v>371</v>
      </c>
      <c r="J29" s="1">
        <f>601</f>
        <v>601</v>
      </c>
      <c r="K29" s="30">
        <f>1837-1455</f>
        <v>382</v>
      </c>
      <c r="L29" s="1">
        <v>169</v>
      </c>
      <c r="M29" s="1">
        <v>359</v>
      </c>
      <c r="N29" s="30">
        <v>570</v>
      </c>
      <c r="Q29" s="1">
        <v>292</v>
      </c>
      <c r="R29" s="1">
        <v>699</v>
      </c>
      <c r="S29" s="1">
        <v>1132</v>
      </c>
      <c r="T29" s="1">
        <v>-5001</v>
      </c>
      <c r="U29" s="1">
        <v>1837</v>
      </c>
      <c r="V29" s="45">
        <f>V28*0.18</f>
        <v>1440.405</v>
      </c>
      <c r="W29" s="45">
        <f t="shared" ref="W29:AA29" si="30">W28*0.18</f>
        <v>2079.1147499999993</v>
      </c>
      <c r="X29" s="45">
        <f t="shared" si="30"/>
        <v>2347.4250224999992</v>
      </c>
      <c r="Y29" s="45">
        <f t="shared" si="30"/>
        <v>2496.4661922749997</v>
      </c>
      <c r="Z29" s="45">
        <f t="shared" si="30"/>
        <v>2843.4908967322494</v>
      </c>
      <c r="AA29" s="45">
        <f t="shared" si="30"/>
        <v>3253.1880141355286</v>
      </c>
      <c r="AB29" s="44"/>
      <c r="AC29" s="10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3">
      <c r="A30" s="9"/>
      <c r="B30" s="9"/>
      <c r="C30" t="s">
        <v>67</v>
      </c>
      <c r="D30" s="30">
        <v>26</v>
      </c>
      <c r="E30" s="30">
        <v>-89</v>
      </c>
      <c r="F30" s="30">
        <v>25</v>
      </c>
      <c r="G30" s="30">
        <f>-23+38</f>
        <v>15</v>
      </c>
      <c r="H30" s="30">
        <v>15</v>
      </c>
      <c r="I30" s="30">
        <v>16</v>
      </c>
      <c r="J30" s="1">
        <v>16</v>
      </c>
      <c r="K30" s="30">
        <f>62-47</f>
        <v>15</v>
      </c>
      <c r="L30" s="1">
        <v>11</v>
      </c>
      <c r="M30" s="1">
        <v>18</v>
      </c>
      <c r="N30" s="30">
        <v>16</v>
      </c>
      <c r="Q30" s="1">
        <v>141</v>
      </c>
      <c r="R30" s="1">
        <v>125</v>
      </c>
      <c r="S30" s="1">
        <v>31</v>
      </c>
      <c r="T30" s="1">
        <v>-23</v>
      </c>
      <c r="U30" s="1">
        <v>62</v>
      </c>
      <c r="V30" s="45">
        <v>20</v>
      </c>
      <c r="W30" s="45">
        <v>20</v>
      </c>
      <c r="X30" s="45">
        <v>20</v>
      </c>
      <c r="Y30" s="45">
        <v>20</v>
      </c>
      <c r="Z30" s="45">
        <v>20</v>
      </c>
      <c r="AA30" s="45">
        <v>20</v>
      </c>
      <c r="AB30" s="44"/>
      <c r="AC30" s="10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3">
      <c r="A31" s="9"/>
      <c r="B31" s="9"/>
      <c r="C31" t="s">
        <v>26</v>
      </c>
      <c r="D31" s="31">
        <f t="shared" ref="D31" si="31">D28-SUM(D29,D30)</f>
        <v>2513</v>
      </c>
      <c r="E31" s="31">
        <f t="shared" ref="E31:G31" si="32">E28-SUM(E29,E30)</f>
        <v>2703</v>
      </c>
      <c r="F31" s="31">
        <f t="shared" si="32"/>
        <v>1853</v>
      </c>
      <c r="G31" s="31">
        <f t="shared" si="32"/>
        <v>7928</v>
      </c>
      <c r="H31" s="31">
        <f t="shared" ref="H31:M31" si="33">H28-SUM(H29,H30)</f>
        <v>1390</v>
      </c>
      <c r="I31" s="31">
        <f t="shared" si="33"/>
        <v>1400</v>
      </c>
      <c r="J31" s="6">
        <f t="shared" si="33"/>
        <v>2167</v>
      </c>
      <c r="K31" s="31">
        <f t="shared" si="33"/>
        <v>2134</v>
      </c>
      <c r="L31" s="6">
        <f t="shared" si="33"/>
        <v>409</v>
      </c>
      <c r="M31" s="6">
        <f t="shared" si="33"/>
        <v>1172</v>
      </c>
      <c r="N31" s="31">
        <f>N28-SUM(N29,N30)</f>
        <v>1373</v>
      </c>
      <c r="O31" s="1"/>
      <c r="Q31" s="6">
        <f t="shared" ref="Q31:Z31" si="34">Q28-SUM(Q29,Q30)</f>
        <v>721</v>
      </c>
      <c r="R31" s="6">
        <f t="shared" si="34"/>
        <v>5519</v>
      </c>
      <c r="S31" s="6">
        <f t="shared" si="34"/>
        <v>12556</v>
      </c>
      <c r="T31" s="6">
        <f t="shared" si="34"/>
        <v>14997</v>
      </c>
      <c r="U31" s="6">
        <f t="shared" si="34"/>
        <v>7091</v>
      </c>
      <c r="V31" s="47">
        <f t="shared" si="34"/>
        <v>6541.8450000000003</v>
      </c>
      <c r="W31" s="47">
        <f t="shared" si="34"/>
        <v>9451.5227499999983</v>
      </c>
      <c r="X31" s="47">
        <f t="shared" si="34"/>
        <v>10673.825102499997</v>
      </c>
      <c r="Y31" s="47">
        <f t="shared" si="34"/>
        <v>11352.790431474999</v>
      </c>
      <c r="Z31" s="47">
        <f t="shared" si="34"/>
        <v>12933.680751780248</v>
      </c>
      <c r="AA31" s="47">
        <f t="shared" ref="AA31" si="35">AA28-SUM(AA29,AA30)</f>
        <v>14800.078731061854</v>
      </c>
      <c r="AB31" s="44"/>
      <c r="AC31" s="10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3">
      <c r="A32" s="9"/>
      <c r="B32" s="9"/>
      <c r="C32" t="s">
        <v>27</v>
      </c>
      <c r="D32" s="32">
        <f t="shared" ref="D32:G32" si="36">D31/D33</f>
        <v>0.7246251441753172</v>
      </c>
      <c r="E32" s="32">
        <f t="shared" si="36"/>
        <v>0.77717078780908566</v>
      </c>
      <c r="F32" s="32">
        <f t="shared" si="36"/>
        <v>0.53048955052963065</v>
      </c>
      <c r="G32" s="32">
        <f t="shared" si="36"/>
        <v>2.2748923959827834</v>
      </c>
      <c r="H32" s="32">
        <f t="shared" ref="H32" si="37">H31/H33</f>
        <v>0.39896670493685421</v>
      </c>
      <c r="I32" s="32">
        <f t="shared" ref="I32:M32" si="38">I31/I33</f>
        <v>0.40218328066647513</v>
      </c>
      <c r="J32" s="3">
        <f t="shared" si="38"/>
        <v>0.61967400629110669</v>
      </c>
      <c r="K32" s="32">
        <f t="shared" ref="K32" si="39">K31/K33</f>
        <v>0.61006289308176098</v>
      </c>
      <c r="L32" s="3">
        <f t="shared" si="38"/>
        <v>0.11616018176654359</v>
      </c>
      <c r="M32" s="3">
        <f t="shared" si="38"/>
        <v>0.333049161693663</v>
      </c>
      <c r="N32" s="32">
        <f>N31/N33</f>
        <v>0.38939307997731137</v>
      </c>
      <c r="Q32" s="3">
        <f t="shared" ref="Q32:R32" si="40">Q31/Q33</f>
        <v>0.66574330563250228</v>
      </c>
      <c r="R32" s="3">
        <f t="shared" si="40"/>
        <v>4.8883968113374667</v>
      </c>
      <c r="S32" s="3">
        <f t="shared" ref="S32:T32" si="41">S31/S33</f>
        <v>3.6132374100719424</v>
      </c>
      <c r="T32" s="3">
        <f t="shared" si="41"/>
        <v>4.3032998565279774</v>
      </c>
      <c r="U32" s="3">
        <f>U31/U33</f>
        <v>2.0271583762149801</v>
      </c>
      <c r="V32" s="48">
        <f t="shared" ref="V32:AA32" si="42">V31/V33</f>
        <v>1.8701672384219554</v>
      </c>
      <c r="W32" s="48">
        <f t="shared" si="42"/>
        <v>2.7019790594625497</v>
      </c>
      <c r="X32" s="48">
        <f t="shared" si="42"/>
        <v>3.051407976700971</v>
      </c>
      <c r="Y32" s="48">
        <f t="shared" si="42"/>
        <v>3.245508985556032</v>
      </c>
      <c r="Z32" s="48">
        <f t="shared" si="42"/>
        <v>3.697450186329402</v>
      </c>
      <c r="AA32" s="48">
        <f t="shared" si="42"/>
        <v>4.111132980850515</v>
      </c>
      <c r="AB32" s="44"/>
      <c r="AC32" s="10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3">
      <c r="A33" s="9"/>
      <c r="B33" s="9"/>
      <c r="C33" t="s">
        <v>28</v>
      </c>
      <c r="D33">
        <v>3468</v>
      </c>
      <c r="E33" s="30">
        <v>3478</v>
      </c>
      <c r="F33" s="30">
        <v>3493</v>
      </c>
      <c r="G33" s="30">
        <v>3485</v>
      </c>
      <c r="H33" s="30">
        <v>3484</v>
      </c>
      <c r="I33" s="30">
        <v>3481</v>
      </c>
      <c r="J33" s="1">
        <v>3497</v>
      </c>
      <c r="K33" s="30">
        <v>3498</v>
      </c>
      <c r="L33" s="1">
        <v>3521</v>
      </c>
      <c r="M33" s="1">
        <v>3519</v>
      </c>
      <c r="N33" s="30">
        <v>3526</v>
      </c>
      <c r="Q33" s="1">
        <v>1083</v>
      </c>
      <c r="R33" s="1">
        <v>1129</v>
      </c>
      <c r="S33" s="1">
        <v>3475</v>
      </c>
      <c r="T33" s="1">
        <v>3485</v>
      </c>
      <c r="U33" s="1">
        <v>3498</v>
      </c>
      <c r="V33" s="45">
        <v>3498</v>
      </c>
      <c r="W33" s="45">
        <v>3498</v>
      </c>
      <c r="X33" s="45">
        <v>3498</v>
      </c>
      <c r="Y33" s="45">
        <v>3498</v>
      </c>
      <c r="Z33" s="45">
        <v>3498</v>
      </c>
      <c r="AA33" s="45">
        <v>3600</v>
      </c>
      <c r="AB33" s="44"/>
      <c r="AC33" s="10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3">
      <c r="A34" s="9"/>
      <c r="B34" s="9"/>
      <c r="G34" s="1"/>
      <c r="H34" s="6"/>
      <c r="I34" s="6"/>
      <c r="J34" s="6"/>
      <c r="K34" s="6"/>
      <c r="L34" s="6"/>
      <c r="M34" s="6"/>
      <c r="N34" s="31"/>
      <c r="Q34" s="1"/>
      <c r="R34" s="1"/>
      <c r="S34" s="1"/>
      <c r="T34" s="1"/>
      <c r="U34" s="1"/>
      <c r="AB34" s="10"/>
      <c r="AC34" s="10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3">
      <c r="A35" s="9" t="s">
        <v>88</v>
      </c>
      <c r="B35" s="9"/>
      <c r="F35" s="25" t="s">
        <v>103</v>
      </c>
      <c r="G35" s="22"/>
      <c r="H35" s="26">
        <f t="shared" ref="H35:H38" si="43">H15/D15-1</f>
        <v>-0.12948955567800435</v>
      </c>
      <c r="I35" s="26">
        <f t="shared" ref="I35:I38" si="44">I15/E15-1</f>
        <v>-6.5356403987210876E-2</v>
      </c>
      <c r="J35" s="26">
        <f t="shared" ref="J35:J38" si="45">J15/F15-1</f>
        <v>1.9923566878980781E-2</v>
      </c>
      <c r="K35" s="26">
        <f t="shared" ref="K35:K38" si="46">K15/G15-1</f>
        <v>-8.1853174419143859E-2</v>
      </c>
      <c r="L35" s="26">
        <f t="shared" ref="L35:M35" si="47">L15/H15-1</f>
        <v>-0.19628265623201746</v>
      </c>
      <c r="M35" s="26">
        <f t="shared" si="47"/>
        <v>-0.16183720696247106</v>
      </c>
      <c r="N35" s="26">
        <f>N15/J15-1</f>
        <v>5.9402478017585914E-2</v>
      </c>
      <c r="O35" s="22"/>
      <c r="P35" s="22"/>
      <c r="Q35" s="26"/>
      <c r="R35" s="26">
        <f t="shared" ref="R35:T35" si="48">R15/Q15-1</f>
        <v>0.73417535614627694</v>
      </c>
      <c r="S35" s="26">
        <f t="shared" si="48"/>
        <v>0.51299966124661256</v>
      </c>
      <c r="T35" s="26">
        <f t="shared" si="48"/>
        <v>0.15332624331812705</v>
      </c>
      <c r="U35" s="26">
        <f>U15/T15-1</f>
        <v>-6.4900083718560042E-2</v>
      </c>
      <c r="V35" s="5"/>
      <c r="X35" s="1"/>
      <c r="AB35" s="10"/>
      <c r="AC35" s="10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3">
      <c r="A36" s="9"/>
      <c r="B36" s="9"/>
      <c r="F36" s="25" t="s">
        <v>104</v>
      </c>
      <c r="G36" s="22"/>
      <c r="H36" s="26">
        <f t="shared" si="43"/>
        <v>6.9326357096141322E-2</v>
      </c>
      <c r="I36" s="26">
        <f t="shared" si="44"/>
        <v>0.99734923790589791</v>
      </c>
      <c r="J36" s="26">
        <f t="shared" si="45"/>
        <v>0.52405388069275172</v>
      </c>
      <c r="K36" s="26">
        <f t="shared" si="46"/>
        <v>1.1286509040333796</v>
      </c>
      <c r="L36" s="26">
        <f t="shared" ref="L36:L38" si="49">L16/H16-1</f>
        <v>0.66972477064220182</v>
      </c>
      <c r="M36" s="26">
        <f t="shared" ref="M36:N38" si="50">M16/I16-1</f>
        <v>-7.4651625746516292E-2</v>
      </c>
      <c r="N36" s="26">
        <f t="shared" si="50"/>
        <v>0.43728956228956228</v>
      </c>
      <c r="O36" s="22"/>
      <c r="P36" s="22"/>
      <c r="Q36" s="26"/>
      <c r="R36" s="26">
        <f t="shared" ref="R36:U37" si="51">R16/Q16-1</f>
        <v>0.3986960882647943</v>
      </c>
      <c r="S36" s="26">
        <f t="shared" si="51"/>
        <v>0.40157762638938688</v>
      </c>
      <c r="T36" s="26">
        <f t="shared" si="51"/>
        <v>0.54387311332821686</v>
      </c>
      <c r="U36" s="26">
        <f t="shared" si="51"/>
        <v>0.67125103562551791</v>
      </c>
      <c r="V36" s="5"/>
      <c r="W36" s="1"/>
      <c r="Y36" s="1"/>
      <c r="AB36" s="10"/>
      <c r="AC36" s="10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3">
      <c r="A37" s="9"/>
      <c r="B37" s="9"/>
      <c r="F37" s="25" t="s">
        <v>105</v>
      </c>
      <c r="G37" s="22"/>
      <c r="H37" s="26">
        <f t="shared" si="43"/>
        <v>0.24550898203592819</v>
      </c>
      <c r="I37" s="26">
        <f t="shared" si="44"/>
        <v>0.21302325581395354</v>
      </c>
      <c r="J37" s="26">
        <f t="shared" si="45"/>
        <v>0.28808864265927969</v>
      </c>
      <c r="K37" s="26">
        <f t="shared" si="46"/>
        <v>0.31486611265004627</v>
      </c>
      <c r="L37" s="26">
        <f t="shared" si="49"/>
        <v>0.15297202797202791</v>
      </c>
      <c r="M37" s="26">
        <f t="shared" si="50"/>
        <v>0.16794478527607359</v>
      </c>
      <c r="N37" s="26">
        <f t="shared" ref="N37:N38" si="52">N17/J17-1</f>
        <v>0.24551971326164868</v>
      </c>
      <c r="O37" s="24"/>
      <c r="P37" s="24"/>
      <c r="Q37" s="26"/>
      <c r="R37" s="26">
        <f t="shared" si="51"/>
        <v>0.64874241110147435</v>
      </c>
      <c r="S37" s="26">
        <f t="shared" si="51"/>
        <v>0.60205155181483438</v>
      </c>
      <c r="T37" s="26">
        <f t="shared" si="51"/>
        <v>0.36578558528977179</v>
      </c>
      <c r="U37" s="26">
        <f t="shared" si="51"/>
        <v>0.26625796369755972</v>
      </c>
      <c r="V37" s="42"/>
      <c r="W37" s="1"/>
      <c r="AB37" s="10"/>
      <c r="AC37" s="10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3">
      <c r="A38" s="9"/>
      <c r="B38" s="9"/>
      <c r="F38" s="25" t="s">
        <v>107</v>
      </c>
      <c r="G38" s="22"/>
      <c r="H38" s="26">
        <f t="shared" si="43"/>
        <v>-8.6930429936988296E-2</v>
      </c>
      <c r="I38" s="26">
        <f t="shared" si="44"/>
        <v>2.2987122397400306E-2</v>
      </c>
      <c r="J38" s="26">
        <f t="shared" si="45"/>
        <v>7.8458244111349051E-2</v>
      </c>
      <c r="K38" s="26">
        <f t="shared" si="46"/>
        <v>2.1456669448086885E-2</v>
      </c>
      <c r="L38" s="26">
        <f t="shared" si="49"/>
        <v>-9.2296136331627587E-2</v>
      </c>
      <c r="M38" s="26">
        <f t="shared" si="50"/>
        <v>-0.1178039215686274</v>
      </c>
      <c r="N38" s="26">
        <f t="shared" si="52"/>
        <v>0.11567786514176803</v>
      </c>
      <c r="O38" s="24"/>
      <c r="P38" s="24"/>
      <c r="Q38" s="24">
        <f t="shared" ref="Q38" si="53">Q18/P18-1</f>
        <v>0.28309870615998056</v>
      </c>
      <c r="R38" s="24">
        <f t="shared" ref="R38" si="54">R18/Q18-1</f>
        <v>0.70671613394216126</v>
      </c>
      <c r="S38" s="24">
        <f t="shared" ref="S38:T38" si="55">S18/R18-1</f>
        <v>0.51351652639206291</v>
      </c>
      <c r="T38" s="24">
        <f t="shared" si="55"/>
        <v>0.18795266504627928</v>
      </c>
      <c r="U38" s="24">
        <f>U18/T18-1</f>
        <v>9.4757835346634955E-3</v>
      </c>
      <c r="V38" s="4"/>
      <c r="AB38" s="10"/>
      <c r="AC38" s="10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3">
      <c r="A39" s="9"/>
      <c r="B39" s="9"/>
      <c r="F39" s="25" t="s">
        <v>29</v>
      </c>
      <c r="G39" s="22"/>
      <c r="H39" s="26">
        <f t="shared" ref="H39:M39" si="56">H20/H18</f>
        <v>0.1735129806112389</v>
      </c>
      <c r="I39" s="26">
        <f t="shared" si="56"/>
        <v>0.17952941176470588</v>
      </c>
      <c r="J39" s="26">
        <f t="shared" si="56"/>
        <v>0.19843539035819235</v>
      </c>
      <c r="K39" s="26">
        <f t="shared" si="56"/>
        <v>0.16256272610572994</v>
      </c>
      <c r="L39" s="26">
        <f t="shared" si="56"/>
        <v>0.16307214895267649</v>
      </c>
      <c r="M39" s="26">
        <f t="shared" si="56"/>
        <v>0.17238620199146515</v>
      </c>
      <c r="N39" s="26">
        <f>N20/N18</f>
        <v>0.1798896600818651</v>
      </c>
      <c r="O39" s="22" t="s">
        <v>65</v>
      </c>
      <c r="P39" s="26"/>
      <c r="Q39" s="26">
        <f t="shared" ref="Q39:R39" si="57">Q20/Q18</f>
        <v>0.2102359208523592</v>
      </c>
      <c r="R39" s="26">
        <f t="shared" si="57"/>
        <v>0.25279155751258753</v>
      </c>
      <c r="S39" s="26">
        <f>S20/S18</f>
        <v>0.25598438535759005</v>
      </c>
      <c r="T39" s="26">
        <f>T20/T18</f>
        <v>0.18248891736331416</v>
      </c>
      <c r="U39" s="26">
        <f>U20/U18</f>
        <v>0.17862626676220697</v>
      </c>
      <c r="V39" s="4"/>
      <c r="AB39" s="10"/>
      <c r="AC39" s="10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3">
      <c r="A40" s="9"/>
      <c r="B40" s="9"/>
      <c r="F40" s="25" t="s">
        <v>30</v>
      </c>
      <c r="G40" s="22"/>
      <c r="H40" s="26">
        <f t="shared" ref="H40:M40" si="58">H25/H18</f>
        <v>5.4973944885216654E-2</v>
      </c>
      <c r="I40" s="26">
        <f t="shared" si="58"/>
        <v>6.2941176470588237E-2</v>
      </c>
      <c r="J40" s="26">
        <f t="shared" si="58"/>
        <v>0.10789452783734413</v>
      </c>
      <c r="K40" s="26">
        <f t="shared" si="58"/>
        <v>6.157855836931575E-2</v>
      </c>
      <c r="L40" s="26">
        <f t="shared" si="58"/>
        <v>2.0636152055857254E-2</v>
      </c>
      <c r="M40" s="26">
        <f t="shared" si="58"/>
        <v>4.1029516358463726E-2</v>
      </c>
      <c r="N40" s="26">
        <f>N25/N18</f>
        <v>5.7803879693895714E-2</v>
      </c>
      <c r="O40" s="22" t="s">
        <v>64</v>
      </c>
      <c r="P40" s="26"/>
      <c r="Q40" s="26">
        <f t="shared" ref="Q40:R40" si="59">Q25/Q18</f>
        <v>6.3229325215626589E-2</v>
      </c>
      <c r="R40" s="26">
        <f t="shared" si="59"/>
        <v>0.12119354179440016</v>
      </c>
      <c r="S40" s="26">
        <f t="shared" ref="S40:U40" si="60">S25/S18</f>
        <v>0.16763644398615304</v>
      </c>
      <c r="T40" s="26">
        <f t="shared" si="60"/>
        <v>9.1874799789197395E-2</v>
      </c>
      <c r="U40" s="26">
        <f t="shared" si="60"/>
        <v>7.2433207083631893E-2</v>
      </c>
      <c r="V40" s="4"/>
      <c r="AB40" s="10"/>
      <c r="AC40" s="10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3">
      <c r="A41" s="9"/>
      <c r="B41" s="9"/>
      <c r="F41" s="22" t="s">
        <v>87</v>
      </c>
      <c r="G41" s="22"/>
      <c r="H41" s="26">
        <f t="shared" ref="H41:M41" si="61">H21/H18</f>
        <v>5.4035021829961033E-2</v>
      </c>
      <c r="I41" s="26">
        <f t="shared" si="61"/>
        <v>4.211764705882353E-2</v>
      </c>
      <c r="J41" s="26">
        <f t="shared" si="61"/>
        <v>4.1259629894368995E-2</v>
      </c>
      <c r="K41" s="26">
        <f t="shared" si="61"/>
        <v>4.9636285836542574E-2</v>
      </c>
      <c r="L41" s="26">
        <f t="shared" si="61"/>
        <v>7.2873028187225242E-2</v>
      </c>
      <c r="M41" s="26">
        <f t="shared" si="61"/>
        <v>7.0634779516358465E-2</v>
      </c>
      <c r="N41" s="26">
        <f>N21/N18</f>
        <v>5.8017440825769713E-2</v>
      </c>
      <c r="O41" s="22"/>
      <c r="P41" s="26"/>
      <c r="Q41" s="26">
        <f t="shared" ref="Q41:U41" si="62">Q21/Q18</f>
        <v>4.7279299847792999E-2</v>
      </c>
      <c r="R41" s="26">
        <f t="shared" si="62"/>
        <v>4.817643015067908E-2</v>
      </c>
      <c r="S41" s="26">
        <f t="shared" si="62"/>
        <v>3.7747661486337188E-2</v>
      </c>
      <c r="T41" s="26">
        <f t="shared" si="62"/>
        <v>4.1013505833238609E-2</v>
      </c>
      <c r="U41" s="26">
        <f t="shared" si="62"/>
        <v>4.6473538745009722E-2</v>
      </c>
      <c r="V41" s="4"/>
      <c r="AB41" s="10"/>
      <c r="AC41" s="10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3">
      <c r="A42" s="9"/>
      <c r="B42" s="9"/>
      <c r="F42" s="22" t="s">
        <v>109</v>
      </c>
      <c r="G42" s="22"/>
      <c r="H42" s="26">
        <f t="shared" ref="H42:N42" si="63">H22/H18</f>
        <v>6.4504013896061224E-2</v>
      </c>
      <c r="I42" s="26">
        <f t="shared" si="63"/>
        <v>5.0078431372549019E-2</v>
      </c>
      <c r="J42" s="26">
        <f t="shared" si="63"/>
        <v>4.7097132872686839E-2</v>
      </c>
      <c r="K42" s="26">
        <f t="shared" si="63"/>
        <v>5.1075582526160193E-2</v>
      </c>
      <c r="L42" s="26">
        <f t="shared" si="63"/>
        <v>6.470131885182312E-2</v>
      </c>
      <c r="M42" s="26">
        <f t="shared" si="63"/>
        <v>6.0721906116642958E-2</v>
      </c>
      <c r="N42" s="26">
        <f t="shared" si="63"/>
        <v>5.5597081331197722E-2</v>
      </c>
      <c r="O42" s="22"/>
      <c r="P42" s="26"/>
      <c r="Q42" s="26">
        <f t="shared" ref="Q42:T42" si="64">Q22/Q18</f>
        <v>9.9727295788939629E-2</v>
      </c>
      <c r="R42" s="26">
        <f t="shared" si="64"/>
        <v>8.3923229845976624E-2</v>
      </c>
      <c r="S42" s="26">
        <f t="shared" si="64"/>
        <v>4.8439763325231394E-2</v>
      </c>
      <c r="T42" s="26">
        <f t="shared" si="64"/>
        <v>4.9600611740878139E-2</v>
      </c>
      <c r="U42" s="26">
        <f>U22/U18</f>
        <v>5.2717780734977994E-2</v>
      </c>
      <c r="V42" s="4"/>
      <c r="AB42" s="10"/>
      <c r="AC42" s="10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x14ac:dyDescent="0.3">
      <c r="A43" s="9"/>
      <c r="B43" s="9"/>
      <c r="F43" s="22" t="s">
        <v>108</v>
      </c>
      <c r="G43" s="22"/>
      <c r="H43" s="26">
        <f t="shared" ref="H43:M43" si="65">H19/H18</f>
        <v>0.82648701938876112</v>
      </c>
      <c r="I43" s="26">
        <f t="shared" si="65"/>
        <v>0.82047058823529406</v>
      </c>
      <c r="J43" s="26">
        <f t="shared" si="65"/>
        <v>0.80156460964180765</v>
      </c>
      <c r="K43" s="26">
        <f t="shared" si="65"/>
        <v>0.83743727389427003</v>
      </c>
      <c r="L43" s="26">
        <f t="shared" si="65"/>
        <v>0.83692785104732348</v>
      </c>
      <c r="M43" s="26">
        <f t="shared" si="65"/>
        <v>0.82761379800853485</v>
      </c>
      <c r="N43" s="26">
        <f>N19/N18</f>
        <v>0.82011033991813487</v>
      </c>
      <c r="O43" s="22"/>
      <c r="P43" s="26"/>
      <c r="Q43" s="26">
        <f t="shared" ref="Q43:U43" si="66">Q19/Q18</f>
        <v>0.7897640791476408</v>
      </c>
      <c r="R43" s="26">
        <f t="shared" si="66"/>
        <v>0.74720844248741247</v>
      </c>
      <c r="S43" s="26">
        <f t="shared" si="66"/>
        <v>0.74401561464240995</v>
      </c>
      <c r="T43" s="26">
        <f t="shared" si="66"/>
        <v>0.81751108263668582</v>
      </c>
      <c r="U43" s="26">
        <f t="shared" si="66"/>
        <v>0.82137373323779306</v>
      </c>
      <c r="V43" s="4"/>
      <c r="AB43" s="10"/>
      <c r="AC43" s="10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x14ac:dyDescent="0.3">
      <c r="A44" s="9"/>
      <c r="B44" s="9"/>
      <c r="H44" s="5"/>
      <c r="I44" s="5"/>
      <c r="J44" s="5"/>
      <c r="K44" s="5"/>
      <c r="L44" s="5">
        <f>AVERAGE(H43:N43)</f>
        <v>0.82437306859058945</v>
      </c>
      <c r="M44" s="5"/>
      <c r="N44" s="5"/>
      <c r="P44" s="5"/>
      <c r="Q44" s="5"/>
      <c r="R44" s="5"/>
      <c r="S44" s="5"/>
      <c r="T44" s="5"/>
      <c r="U44" s="5"/>
      <c r="AB44" s="10"/>
      <c r="AC44" s="10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x14ac:dyDescent="0.3">
      <c r="A45" s="9"/>
      <c r="B45" s="9"/>
      <c r="H45" s="5"/>
      <c r="I45" s="5"/>
      <c r="J45" s="5"/>
      <c r="K45" s="5"/>
      <c r="L45" s="5"/>
      <c r="M45" s="5"/>
      <c r="N45" s="5"/>
      <c r="P45" s="5"/>
      <c r="Q45" s="5"/>
      <c r="R45" s="5"/>
      <c r="S45" s="5"/>
      <c r="T45" s="5"/>
      <c r="U45" s="5"/>
      <c r="AB45" s="10"/>
      <c r="AC45" s="10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3">
      <c r="A46" s="9"/>
      <c r="B46" s="9"/>
      <c r="H46" s="5"/>
      <c r="I46" s="5"/>
      <c r="J46" s="5"/>
      <c r="K46" s="5"/>
      <c r="L46" s="5"/>
      <c r="M46" s="5"/>
      <c r="N46" s="5"/>
      <c r="P46" s="5"/>
      <c r="Q46" s="5"/>
      <c r="R46" s="5"/>
      <c r="S46" s="5"/>
      <c r="T46" s="5"/>
      <c r="U46" s="5"/>
      <c r="AB46" s="10"/>
      <c r="AC46" s="10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x14ac:dyDescent="0.3">
      <c r="A47" s="7" t="s">
        <v>31</v>
      </c>
      <c r="B47" s="8"/>
      <c r="C47" t="s">
        <v>4</v>
      </c>
      <c r="D47" s="1">
        <f>16048+6354</f>
        <v>22402</v>
      </c>
      <c r="E47" s="1">
        <f>15296+7779</f>
        <v>23075</v>
      </c>
      <c r="F47" s="1">
        <f>15932+10145</f>
        <v>26077</v>
      </c>
      <c r="G47" s="1">
        <f>16398+12696</f>
        <v>29094</v>
      </c>
      <c r="H47" s="1">
        <f>11805+15058</f>
        <v>26863</v>
      </c>
      <c r="I47" s="1">
        <f>14635+16085</f>
        <v>30720</v>
      </c>
      <c r="J47" s="1">
        <f>18111+15537</f>
        <v>33648</v>
      </c>
      <c r="K47" s="1">
        <f>16139+20424</f>
        <v>36563</v>
      </c>
      <c r="L47" s="1">
        <f>16352+20644</f>
        <v>36996</v>
      </c>
      <c r="M47" s="1">
        <f>15587+21195</f>
        <v>36782</v>
      </c>
      <c r="N47" s="1">
        <f>18289+23358</f>
        <v>41647</v>
      </c>
      <c r="O47" s="1"/>
      <c r="P47" s="1"/>
      <c r="Q47" s="1">
        <f>19384</f>
        <v>19384</v>
      </c>
      <c r="R47" s="1">
        <f>17576+131</f>
        <v>17707</v>
      </c>
      <c r="S47" s="1">
        <f>16253+5932</f>
        <v>22185</v>
      </c>
      <c r="T47" s="1">
        <f>16398+12696</f>
        <v>29094</v>
      </c>
      <c r="U47" s="1">
        <f>16139+20424</f>
        <v>36563</v>
      </c>
      <c r="AB47" s="10"/>
      <c r="AC47" s="10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3">
      <c r="A48" t="s">
        <v>32</v>
      </c>
      <c r="B48" s="9"/>
      <c r="C48" t="s">
        <v>33</v>
      </c>
      <c r="D48" s="1">
        <f>2993</f>
        <v>2993</v>
      </c>
      <c r="E48" s="1">
        <v>3447</v>
      </c>
      <c r="F48" s="1">
        <v>2520</v>
      </c>
      <c r="G48" s="1">
        <v>3508</v>
      </c>
      <c r="H48" s="1">
        <v>3887</v>
      </c>
      <c r="I48" s="1">
        <v>3737</v>
      </c>
      <c r="J48" s="1">
        <v>3313</v>
      </c>
      <c r="K48" s="1">
        <v>4418</v>
      </c>
      <c r="L48" s="1">
        <v>3782</v>
      </c>
      <c r="M48" s="1">
        <v>3838</v>
      </c>
      <c r="N48" s="1">
        <v>4703</v>
      </c>
      <c r="O48" s="1"/>
      <c r="P48" s="1"/>
      <c r="Q48" s="1">
        <f>1886</f>
        <v>1886</v>
      </c>
      <c r="R48" s="1">
        <v>1913</v>
      </c>
      <c r="S48" s="1">
        <v>2952</v>
      </c>
      <c r="T48" s="1">
        <v>3508</v>
      </c>
      <c r="U48" s="1">
        <v>4418</v>
      </c>
      <c r="AB48" s="10"/>
      <c r="AC48" s="10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x14ac:dyDescent="0.3">
      <c r="A49" s="9"/>
      <c r="B49" s="9"/>
      <c r="C49" t="s">
        <v>34</v>
      </c>
      <c r="D49" s="1">
        <v>14375</v>
      </c>
      <c r="E49" s="1">
        <v>14356</v>
      </c>
      <c r="F49" s="1">
        <v>13721</v>
      </c>
      <c r="G49" s="1">
        <v>13626</v>
      </c>
      <c r="H49" s="1">
        <v>16033</v>
      </c>
      <c r="I49" s="1">
        <v>14195</v>
      </c>
      <c r="J49" s="1">
        <v>14530</v>
      </c>
      <c r="K49" s="1">
        <v>12017</v>
      </c>
      <c r="L49" s="1">
        <v>13706</v>
      </c>
      <c r="M49" s="1">
        <v>14570</v>
      </c>
      <c r="N49" s="1">
        <v>12276</v>
      </c>
      <c r="O49" s="1"/>
      <c r="P49" s="1"/>
      <c r="Q49" s="1">
        <v>4101</v>
      </c>
      <c r="R49" s="1">
        <v>5757</v>
      </c>
      <c r="S49" s="1">
        <v>12839</v>
      </c>
      <c r="T49" s="1">
        <v>13626</v>
      </c>
      <c r="U49" s="1">
        <v>12017</v>
      </c>
      <c r="AB49" s="10"/>
      <c r="AC49" s="10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3">
      <c r="A50" s="9"/>
      <c r="B50" s="9"/>
      <c r="C50" t="s">
        <v>35</v>
      </c>
      <c r="D50" s="1">
        <v>3227</v>
      </c>
      <c r="E50" s="1">
        <v>2997</v>
      </c>
      <c r="F50" s="1">
        <v>2708</v>
      </c>
      <c r="G50" s="1">
        <v>3388</v>
      </c>
      <c r="H50" s="1">
        <v>3752</v>
      </c>
      <c r="I50" s="1">
        <v>4325</v>
      </c>
      <c r="J50" s="1">
        <v>4888</v>
      </c>
      <c r="K50" s="1">
        <v>5362</v>
      </c>
      <c r="L50" s="1">
        <v>4905</v>
      </c>
      <c r="M50" s="1">
        <v>5943</v>
      </c>
      <c r="N50" s="1">
        <v>6027</v>
      </c>
      <c r="O50" s="1"/>
      <c r="P50" s="1"/>
      <c r="Q50" s="1">
        <v>1346</v>
      </c>
      <c r="R50" s="1">
        <v>1723</v>
      </c>
      <c r="S50" s="1">
        <v>2941</v>
      </c>
      <c r="T50" s="1">
        <v>3388</v>
      </c>
      <c r="U50" s="1">
        <v>5362</v>
      </c>
      <c r="AB50" s="10"/>
      <c r="AC50" s="10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x14ac:dyDescent="0.3">
      <c r="A51" s="9"/>
      <c r="B51" s="9"/>
      <c r="C51" s="14" t="s">
        <v>60</v>
      </c>
      <c r="D51" s="20">
        <f>SUM(D47:D50)</f>
        <v>42997</v>
      </c>
      <c r="E51" s="20">
        <f t="shared" ref="E51:G51" si="67">SUM(E47:E50)</f>
        <v>43875</v>
      </c>
      <c r="F51" s="20">
        <f t="shared" si="67"/>
        <v>45026</v>
      </c>
      <c r="G51" s="20">
        <f t="shared" si="67"/>
        <v>49616</v>
      </c>
      <c r="H51" s="20">
        <f>SUM(H47:H50)</f>
        <v>50535</v>
      </c>
      <c r="I51" s="20">
        <f>SUM(I47:I50)</f>
        <v>52977</v>
      </c>
      <c r="J51" s="20">
        <f>SUM(J47:J50)</f>
        <v>56379</v>
      </c>
      <c r="K51" s="20">
        <f>SUM(K50,K49,K48,K47)</f>
        <v>58360</v>
      </c>
      <c r="L51" s="20">
        <f>SUM(L50,L49,L48,L47)</f>
        <v>59389</v>
      </c>
      <c r="M51" s="20">
        <f>SUM(M50,M49,M48,M47)</f>
        <v>61133</v>
      </c>
      <c r="N51" s="20">
        <f>SUM(N50,N49,N48,N47)</f>
        <v>64653</v>
      </c>
      <c r="O51" s="1"/>
      <c r="P51" s="1"/>
      <c r="Q51" s="20">
        <f>SUM(Q47:Q50)</f>
        <v>26717</v>
      </c>
      <c r="R51" s="20">
        <f>SUM(R47:R50)</f>
        <v>27100</v>
      </c>
      <c r="S51" s="20">
        <f>SUM(S47:S50)</f>
        <v>40917</v>
      </c>
      <c r="T51" s="20">
        <f>SUM(T50,T49,T48,T47)</f>
        <v>49616</v>
      </c>
      <c r="U51" s="20">
        <f>SUM(U50,U49,U48,U47)</f>
        <v>58360</v>
      </c>
      <c r="AB51" s="10"/>
      <c r="AC51" s="10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3">
      <c r="A52" s="9"/>
      <c r="B52" s="9"/>
      <c r="C52" t="s">
        <v>78</v>
      </c>
      <c r="D52" s="1">
        <f>5473+2800</f>
        <v>8273</v>
      </c>
      <c r="E52" s="1">
        <f>5935+3352</f>
        <v>9287</v>
      </c>
      <c r="F52" s="1">
        <f>6119+3637</f>
        <v>9756</v>
      </c>
      <c r="G52" s="1">
        <f>5989+4180</f>
        <v>10169</v>
      </c>
      <c r="H52" s="1">
        <f>5736+4367</f>
        <v>10103</v>
      </c>
      <c r="I52" s="1">
        <f>5541+4563</f>
        <v>10104</v>
      </c>
      <c r="J52" s="1">
        <f>5380+4867</f>
        <v>10247</v>
      </c>
      <c r="K52" s="1">
        <f>5581+5160</f>
        <v>10741</v>
      </c>
      <c r="L52" s="1">
        <f>5477+5330</f>
        <v>10807</v>
      </c>
      <c r="M52" s="1">
        <f>5230+5633</f>
        <v>10863</v>
      </c>
      <c r="N52" s="1">
        <f>5019+5783</f>
        <v>10802</v>
      </c>
      <c r="O52" s="1"/>
      <c r="P52" s="1"/>
      <c r="Q52" s="1">
        <f>3091+1558</f>
        <v>4649</v>
      </c>
      <c r="R52" s="1">
        <f>4511+2016</f>
        <v>6527</v>
      </c>
      <c r="S52" s="1">
        <f>5035+2563</f>
        <v>7598</v>
      </c>
      <c r="T52" s="1">
        <f>5989+4180</f>
        <v>10169</v>
      </c>
      <c r="U52" s="1">
        <f>5581+5160</f>
        <v>10741</v>
      </c>
      <c r="AB52" s="10"/>
      <c r="AC52" s="10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x14ac:dyDescent="0.3">
      <c r="A53" s="9"/>
      <c r="B53" s="9"/>
      <c r="C53" t="s">
        <v>75</v>
      </c>
      <c r="D53" s="1">
        <f>5427</f>
        <v>5427</v>
      </c>
      <c r="E53" s="1">
        <f>5365</f>
        <v>5365</v>
      </c>
      <c r="F53" s="1">
        <v>5293</v>
      </c>
      <c r="G53" s="1">
        <f>5229</f>
        <v>5229</v>
      </c>
      <c r="H53" s="1">
        <v>5162</v>
      </c>
      <c r="I53" s="1">
        <v>5102</v>
      </c>
      <c r="J53" s="1">
        <f>5040</f>
        <v>5040</v>
      </c>
      <c r="K53" s="1">
        <v>4924</v>
      </c>
      <c r="L53" s="1">
        <v>4855</v>
      </c>
      <c r="M53" s="1">
        <v>4788</v>
      </c>
      <c r="N53" s="1">
        <f>4673</f>
        <v>4673</v>
      </c>
      <c r="O53" s="1"/>
      <c r="P53" s="1"/>
      <c r="Q53" s="1">
        <v>5979</v>
      </c>
      <c r="R53" s="1">
        <v>5765</v>
      </c>
      <c r="S53" s="1">
        <f>5489</f>
        <v>5489</v>
      </c>
      <c r="T53" s="1">
        <f>5229</f>
        <v>5229</v>
      </c>
      <c r="U53" s="1">
        <f>4924</f>
        <v>4924</v>
      </c>
      <c r="AB53" s="10"/>
      <c r="AC53" s="10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3">
      <c r="A54" s="9"/>
      <c r="B54" s="9"/>
      <c r="C54" t="s">
        <v>36</v>
      </c>
      <c r="D54" s="1">
        <f>24969</f>
        <v>24969</v>
      </c>
      <c r="E54" s="1">
        <v>26389</v>
      </c>
      <c r="F54" s="1">
        <v>27744</v>
      </c>
      <c r="G54" s="1">
        <f>29725</f>
        <v>29725</v>
      </c>
      <c r="H54" s="1">
        <v>31436</v>
      </c>
      <c r="I54" s="1">
        <f>32902</f>
        <v>32902</v>
      </c>
      <c r="J54" s="1">
        <f>36116</f>
        <v>36116</v>
      </c>
      <c r="K54" s="1">
        <v>35836</v>
      </c>
      <c r="L54" s="1">
        <v>37088</v>
      </c>
      <c r="M54" s="1">
        <v>38574</v>
      </c>
      <c r="N54" s="1">
        <v>39407</v>
      </c>
      <c r="O54" s="1"/>
      <c r="P54" s="1"/>
      <c r="Q54" s="1">
        <v>12747</v>
      </c>
      <c r="R54" s="1">
        <f>18884</f>
        <v>18884</v>
      </c>
      <c r="S54" s="1">
        <f>23548</f>
        <v>23548</v>
      </c>
      <c r="T54" s="1">
        <f>29725</f>
        <v>29725</v>
      </c>
      <c r="U54" s="1">
        <f>35836</f>
        <v>35836</v>
      </c>
      <c r="AB54" s="10"/>
      <c r="AC54" s="10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x14ac:dyDescent="0.3">
      <c r="A55" s="9"/>
      <c r="B55" s="9"/>
      <c r="C55" t="s">
        <v>77</v>
      </c>
      <c r="D55" s="1">
        <f>184</f>
        <v>184</v>
      </c>
      <c r="E55" s="1">
        <v>184</v>
      </c>
      <c r="F55" s="1">
        <v>184</v>
      </c>
      <c r="G55" s="1">
        <f>184</f>
        <v>184</v>
      </c>
      <c r="H55" s="1">
        <v>184</v>
      </c>
      <c r="I55" s="1">
        <v>184</v>
      </c>
      <c r="J55" s="1">
        <f>184</f>
        <v>184</v>
      </c>
      <c r="K55" s="1">
        <v>1076</v>
      </c>
      <c r="L55" s="1">
        <v>951</v>
      </c>
      <c r="M55" s="1">
        <v>1235</v>
      </c>
      <c r="N55" s="1">
        <v>1315</v>
      </c>
      <c r="O55" s="1"/>
      <c r="P55" s="1"/>
      <c r="Q55" s="1">
        <v>0</v>
      </c>
      <c r="R55" s="1">
        <v>1260</v>
      </c>
      <c r="S55" s="1">
        <f>184</f>
        <v>184</v>
      </c>
      <c r="T55" s="1">
        <f>184</f>
        <v>184</v>
      </c>
      <c r="U55" s="1">
        <f>1076</f>
        <v>1076</v>
      </c>
      <c r="AB55" s="10"/>
      <c r="AC55" s="10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3">
      <c r="A56" s="9"/>
      <c r="B56" s="9"/>
      <c r="C56" t="s">
        <v>76</v>
      </c>
      <c r="D56" s="1">
        <v>204</v>
      </c>
      <c r="E56" s="1">
        <v>202</v>
      </c>
      <c r="F56" s="1">
        <v>191</v>
      </c>
      <c r="G56" s="1">
        <v>178</v>
      </c>
      <c r="H56" s="1">
        <v>171</v>
      </c>
      <c r="I56" s="1">
        <v>164</v>
      </c>
      <c r="J56" s="1">
        <f>158</f>
        <v>158</v>
      </c>
      <c r="K56" s="1">
        <v>150</v>
      </c>
      <c r="L56" s="1">
        <v>144</v>
      </c>
      <c r="M56" s="1">
        <v>138</v>
      </c>
      <c r="N56" s="1">
        <v>131</v>
      </c>
      <c r="O56" s="1"/>
      <c r="P56" s="1"/>
      <c r="Q56" s="1">
        <v>313</v>
      </c>
      <c r="R56" s="1">
        <v>257</v>
      </c>
      <c r="S56" s="1">
        <v>215</v>
      </c>
      <c r="T56" s="1">
        <f>178</f>
        <v>178</v>
      </c>
      <c r="U56" s="1">
        <f>150</f>
        <v>150</v>
      </c>
      <c r="AB56" s="10"/>
      <c r="AC56" s="10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x14ac:dyDescent="0.3">
      <c r="A57" s="9"/>
      <c r="B57" s="9"/>
      <c r="C57" t="s">
        <v>37</v>
      </c>
      <c r="D57" s="1">
        <v>195</v>
      </c>
      <c r="E57" s="1">
        <v>263</v>
      </c>
      <c r="F57" s="1">
        <v>250</v>
      </c>
      <c r="G57" s="1">
        <f>253+6733</f>
        <v>6986</v>
      </c>
      <c r="H57" s="1">
        <f>250+6769</f>
        <v>7019</v>
      </c>
      <c r="I57" s="1">
        <f>249+6692</f>
        <v>6941</v>
      </c>
      <c r="J57" s="1">
        <f>253+6486</f>
        <v>6739</v>
      </c>
      <c r="K57" s="1">
        <f>244+6524</f>
        <v>6768</v>
      </c>
      <c r="L57" s="1">
        <f>248+6687</f>
        <v>6935</v>
      </c>
      <c r="M57" s="1">
        <f>258+6721</f>
        <v>6979</v>
      </c>
      <c r="N57" s="1">
        <f>257+6637</f>
        <v>6894</v>
      </c>
      <c r="O57" s="1"/>
      <c r="P57" s="1"/>
      <c r="Q57" s="1">
        <v>207</v>
      </c>
      <c r="R57" s="1">
        <v>200</v>
      </c>
      <c r="S57" s="1">
        <v>194</v>
      </c>
      <c r="T57" s="1">
        <f>253+6733</f>
        <v>6986</v>
      </c>
      <c r="U57" s="1">
        <f>244+6524</f>
        <v>6768</v>
      </c>
      <c r="AB57" s="10"/>
      <c r="AC57" s="10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3">
      <c r="A58" s="9"/>
      <c r="B58" s="9"/>
      <c r="C58" t="s">
        <v>35</v>
      </c>
      <c r="D58" s="1">
        <v>4584</v>
      </c>
      <c r="E58" s="1">
        <v>5026</v>
      </c>
      <c r="F58" s="1">
        <v>5497</v>
      </c>
      <c r="G58" s="1">
        <v>4531</v>
      </c>
      <c r="H58" s="1">
        <v>4616</v>
      </c>
      <c r="I58" s="1">
        <v>4458</v>
      </c>
      <c r="J58" s="1">
        <f>4989</f>
        <v>4989</v>
      </c>
      <c r="K58" s="1">
        <v>4215</v>
      </c>
      <c r="L58" s="1">
        <v>4942</v>
      </c>
      <c r="M58" s="1">
        <v>4857</v>
      </c>
      <c r="N58" s="1">
        <v>5860</v>
      </c>
      <c r="O58" s="1"/>
      <c r="P58" s="1"/>
      <c r="Q58" s="1">
        <v>1536</v>
      </c>
      <c r="R58" s="1">
        <v>2138</v>
      </c>
      <c r="S58" s="1">
        <v>4193</v>
      </c>
      <c r="T58" s="1">
        <v>4531</v>
      </c>
      <c r="U58" s="1">
        <v>4215</v>
      </c>
      <c r="AB58" s="10"/>
      <c r="AC58" s="10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x14ac:dyDescent="0.3">
      <c r="A59" s="9"/>
      <c r="B59" s="9"/>
      <c r="C59" t="s">
        <v>32</v>
      </c>
      <c r="D59" s="6">
        <f>SUM(D51:D58)</f>
        <v>86833</v>
      </c>
      <c r="E59" s="31">
        <f t="shared" ref="E59:G59" si="68">SUM(E51:E58)</f>
        <v>90591</v>
      </c>
      <c r="F59" s="6">
        <f t="shared" si="68"/>
        <v>93941</v>
      </c>
      <c r="G59" s="6">
        <f t="shared" si="68"/>
        <v>106618</v>
      </c>
      <c r="H59" s="6">
        <f t="shared" ref="H59:K59" si="69">SUM(H52:H58)+H51</f>
        <v>109226</v>
      </c>
      <c r="I59" s="6">
        <f t="shared" si="69"/>
        <v>112832</v>
      </c>
      <c r="J59" s="31">
        <f t="shared" si="69"/>
        <v>119852</v>
      </c>
      <c r="K59" s="6">
        <f t="shared" si="69"/>
        <v>122070</v>
      </c>
      <c r="L59" s="6">
        <f>SUM(L52:L58)+L51</f>
        <v>125111</v>
      </c>
      <c r="M59" s="6">
        <f t="shared" ref="M59:N59" si="70">SUM(M52:M58)+M51</f>
        <v>128567</v>
      </c>
      <c r="N59" s="6">
        <f t="shared" si="70"/>
        <v>133735</v>
      </c>
      <c r="O59" s="1"/>
      <c r="P59" s="1"/>
      <c r="Q59" s="6">
        <f t="shared" ref="Q59:U59" si="71">SUM(Q52:Q58)+Q51</f>
        <v>52148</v>
      </c>
      <c r="R59" s="6">
        <f t="shared" si="71"/>
        <v>62131</v>
      </c>
      <c r="S59" s="6">
        <f t="shared" si="71"/>
        <v>82338</v>
      </c>
      <c r="T59" s="6">
        <f t="shared" si="71"/>
        <v>106618</v>
      </c>
      <c r="U59" s="6">
        <f t="shared" si="71"/>
        <v>122070</v>
      </c>
      <c r="AB59" s="10"/>
      <c r="AC59" s="10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3">
      <c r="A60" s="9"/>
      <c r="B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B60" s="10"/>
      <c r="AC60" s="10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x14ac:dyDescent="0.3">
      <c r="A61" s="9"/>
      <c r="B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B61" s="10"/>
      <c r="AC61" s="10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3">
      <c r="A62" t="s">
        <v>38</v>
      </c>
      <c r="C62" t="s">
        <v>39</v>
      </c>
      <c r="D62" s="1">
        <v>15904</v>
      </c>
      <c r="E62" s="1">
        <v>15273</v>
      </c>
      <c r="F62" s="1">
        <v>13937</v>
      </c>
      <c r="G62" s="1">
        <v>14431</v>
      </c>
      <c r="H62" s="1">
        <v>14725</v>
      </c>
      <c r="I62" s="1">
        <v>13056</v>
      </c>
      <c r="J62" s="1">
        <v>14654</v>
      </c>
      <c r="K62" s="1">
        <v>12474</v>
      </c>
      <c r="L62" s="1">
        <v>13471</v>
      </c>
      <c r="M62" s="1">
        <v>13212</v>
      </c>
      <c r="N62" s="1">
        <v>12819</v>
      </c>
      <c r="O62" s="1"/>
      <c r="P62" s="1"/>
      <c r="Q62" s="1">
        <v>6051</v>
      </c>
      <c r="R62" s="1">
        <v>10025</v>
      </c>
      <c r="S62" s="1">
        <v>15255</v>
      </c>
      <c r="T62" s="1">
        <v>14431</v>
      </c>
      <c r="U62" s="1">
        <v>12474</v>
      </c>
      <c r="AB62" s="10"/>
      <c r="AC62" s="10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x14ac:dyDescent="0.3">
      <c r="A63" s="9"/>
      <c r="B63" s="9"/>
      <c r="C63" t="s">
        <v>81</v>
      </c>
      <c r="D63" s="1">
        <v>7321</v>
      </c>
      <c r="E63" s="1">
        <v>7658</v>
      </c>
      <c r="F63" s="1">
        <v>7636</v>
      </c>
      <c r="G63" s="1">
        <v>9080</v>
      </c>
      <c r="H63" s="1">
        <f>9243</f>
        <v>9243</v>
      </c>
      <c r="I63" s="1">
        <v>9616</v>
      </c>
      <c r="J63" s="1">
        <v>10601</v>
      </c>
      <c r="K63" s="1">
        <v>10723</v>
      </c>
      <c r="L63" s="1">
        <v>10802</v>
      </c>
      <c r="M63" s="1">
        <f>11519</f>
        <v>11519</v>
      </c>
      <c r="N63" s="1">
        <v>12791</v>
      </c>
      <c r="O63" s="1"/>
      <c r="P63" s="1"/>
      <c r="Q63" s="1">
        <f>3855</f>
        <v>3855</v>
      </c>
      <c r="R63" s="1">
        <v>5719</v>
      </c>
      <c r="S63" s="1">
        <v>7142</v>
      </c>
      <c r="T63" s="1">
        <v>9080</v>
      </c>
      <c r="U63" s="1">
        <v>10723</v>
      </c>
      <c r="AB63" s="10"/>
      <c r="AC63" s="10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x14ac:dyDescent="0.3">
      <c r="A64" s="9"/>
      <c r="B64" s="9"/>
      <c r="C64" t="s">
        <v>80</v>
      </c>
      <c r="D64" s="1">
        <f>1750+2911+1057</f>
        <v>5718</v>
      </c>
      <c r="E64" s="1">
        <f>2176+1026+3021</f>
        <v>6223</v>
      </c>
      <c r="F64" s="1">
        <f>2206+894+3059</f>
        <v>6159</v>
      </c>
      <c r="G64" s="1">
        <f>2864+3251</f>
        <v>6115</v>
      </c>
      <c r="H64" s="1">
        <f>3024+3214</f>
        <v>6238</v>
      </c>
      <c r="I64" s="1">
        <f>2793+3357</f>
        <v>6150</v>
      </c>
      <c r="J64" s="1">
        <f>3031+3350</f>
        <v>6381</v>
      </c>
      <c r="K64" s="1">
        <f>3168+3317</f>
        <v>6485</v>
      </c>
      <c r="L64" s="1">
        <f>3243+3610</f>
        <v>6853</v>
      </c>
      <c r="M64" s="1">
        <f>3237+3764</f>
        <v>7001</v>
      </c>
      <c r="N64" s="1">
        <f>3756+3746</f>
        <v>7502</v>
      </c>
      <c r="O64" s="1"/>
      <c r="P64" s="1"/>
      <c r="Q64" s="1">
        <f>1458+752+1284</f>
        <v>3494</v>
      </c>
      <c r="R64" s="1">
        <f>1447+925+2052</f>
        <v>4424</v>
      </c>
      <c r="S64" s="1">
        <f>1747+2804</f>
        <v>4551</v>
      </c>
      <c r="T64" s="1">
        <f>2864+3251</f>
        <v>6115</v>
      </c>
      <c r="U64" s="1">
        <f>3168+3317</f>
        <v>6485</v>
      </c>
      <c r="AB64" s="10"/>
      <c r="AC64" s="10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x14ac:dyDescent="0.3">
      <c r="A65" s="9"/>
      <c r="B65" s="9"/>
      <c r="C65" t="s">
        <v>5</v>
      </c>
      <c r="D65" s="1">
        <f>1404+1272</f>
        <v>2676</v>
      </c>
      <c r="E65" s="1">
        <f>1459+872</f>
        <v>2331</v>
      </c>
      <c r="F65" s="1">
        <f>1967+2426</f>
        <v>4393</v>
      </c>
      <c r="G65" s="1">
        <f>2373+2857</f>
        <v>5230</v>
      </c>
      <c r="H65" s="1">
        <f>2461+2899</f>
        <v>5360</v>
      </c>
      <c r="I65" s="1">
        <f>2264+5481</f>
        <v>7745</v>
      </c>
      <c r="J65" s="1">
        <f>2291+5405</f>
        <v>7696</v>
      </c>
      <c r="K65" s="1">
        <f>2456+5757</f>
        <v>8213</v>
      </c>
      <c r="L65" s="1">
        <f>2237+5292</f>
        <v>7529</v>
      </c>
      <c r="M65" s="1">
        <f>2040+5180</f>
        <v>7220</v>
      </c>
      <c r="N65" s="1">
        <f>1924+5778</f>
        <v>7702</v>
      </c>
      <c r="O65" s="1"/>
      <c r="P65" s="1"/>
      <c r="Q65" s="1">
        <f>2132+9556</f>
        <v>11688</v>
      </c>
      <c r="R65" s="1">
        <f>1589+5245</f>
        <v>6834</v>
      </c>
      <c r="S65" s="1">
        <f>1502+1597+1063</f>
        <v>4162</v>
      </c>
      <c r="T65" s="1">
        <f>2373+2857</f>
        <v>5230</v>
      </c>
      <c r="U65" s="1">
        <f>2456+5757</f>
        <v>8213</v>
      </c>
      <c r="AB65" s="10"/>
      <c r="AC65" s="10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x14ac:dyDescent="0.3">
      <c r="A66" s="9"/>
      <c r="B66" s="9"/>
      <c r="C66" t="s">
        <v>82</v>
      </c>
      <c r="D66" s="1">
        <f>5979+407</f>
        <v>6386</v>
      </c>
      <c r="E66" s="1">
        <f>6924+288</f>
        <v>7212</v>
      </c>
      <c r="F66" s="1">
        <f>7321+277</f>
        <v>7598</v>
      </c>
      <c r="G66" s="1">
        <f>8153+242</f>
        <v>8395</v>
      </c>
      <c r="H66" s="1">
        <f>8480+73</f>
        <v>8553</v>
      </c>
      <c r="I66" s="1">
        <f>9002+72</f>
        <v>9074</v>
      </c>
      <c r="J66" s="1">
        <f>9810+70</f>
        <v>9880</v>
      </c>
      <c r="K66" s="1">
        <f>10495+63</f>
        <v>10558</v>
      </c>
      <c r="L66" s="1">
        <f>11038+62</f>
        <v>11100</v>
      </c>
      <c r="M66" s="1">
        <f>11543+61</f>
        <v>11604</v>
      </c>
      <c r="N66" s="1">
        <f>12205+59</f>
        <v>12264</v>
      </c>
      <c r="O66" s="1"/>
      <c r="P66" s="1"/>
      <c r="Q66" s="1">
        <f>3330+604+51</f>
        <v>3985</v>
      </c>
      <c r="R66" s="1">
        <f>3546+568</f>
        <v>4114</v>
      </c>
      <c r="S66" s="1">
        <f>5330+409</f>
        <v>5739</v>
      </c>
      <c r="T66" s="1">
        <f>8153+242</f>
        <v>8395</v>
      </c>
      <c r="U66" s="1">
        <f>10495+63</f>
        <v>10558</v>
      </c>
      <c r="AB66" s="10"/>
      <c r="AC66" s="10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x14ac:dyDescent="0.3">
      <c r="A67" s="9"/>
      <c r="B67" s="9"/>
      <c r="C67" t="s">
        <v>83</v>
      </c>
      <c r="D67" s="1">
        <f>48054+774</f>
        <v>48828</v>
      </c>
      <c r="E67" s="1">
        <f>51130+764</f>
        <v>51894</v>
      </c>
      <c r="F67" s="1">
        <f>53466+752</f>
        <v>54218</v>
      </c>
      <c r="G67" s="1">
        <f>62634+733</f>
        <v>63367</v>
      </c>
      <c r="H67" s="1">
        <f>64378+729</f>
        <v>65107</v>
      </c>
      <c r="I67" s="1">
        <f>66468+723</f>
        <v>67191</v>
      </c>
      <c r="J67" s="1">
        <f>69931+709</f>
        <v>70640</v>
      </c>
      <c r="K67" s="1">
        <f>72913+704</f>
        <v>73617</v>
      </c>
      <c r="L67" s="30">
        <f>74653+703</f>
        <v>75356</v>
      </c>
      <c r="M67" s="1">
        <f>77314+697</f>
        <v>78011</v>
      </c>
      <c r="N67" s="1">
        <f>79970+687</f>
        <v>80657</v>
      </c>
      <c r="O67" s="1"/>
      <c r="P67" s="1"/>
      <c r="Q67" s="1">
        <f>22225+850</f>
        <v>23075</v>
      </c>
      <c r="R67" s="1">
        <f>30189+826</f>
        <v>31015</v>
      </c>
      <c r="S67" s="1">
        <f>44704+785</f>
        <v>45489</v>
      </c>
      <c r="T67" s="1">
        <f>62634+733</f>
        <v>63367</v>
      </c>
      <c r="U67" s="1">
        <f>72913+704</f>
        <v>73617</v>
      </c>
      <c r="AB67" s="10"/>
      <c r="AC67" s="10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x14ac:dyDescent="0.3">
      <c r="A68" s="9"/>
      <c r="B68" s="9"/>
      <c r="C68" t="s">
        <v>40</v>
      </c>
      <c r="D68" s="6">
        <f>SUM(D62:D67)</f>
        <v>86833</v>
      </c>
      <c r="E68" s="31">
        <f>SUM(E62:E67)</f>
        <v>90591</v>
      </c>
      <c r="F68" s="31">
        <f>SUM(F62:F67)</f>
        <v>93941</v>
      </c>
      <c r="G68" s="31">
        <f>SUM(G62:G67)</f>
        <v>106618</v>
      </c>
      <c r="H68" s="6">
        <f t="shared" ref="H68:N68" si="72">SUM(H62:H67)</f>
        <v>109226</v>
      </c>
      <c r="I68" s="6">
        <f t="shared" si="72"/>
        <v>112832</v>
      </c>
      <c r="J68" s="31">
        <f t="shared" si="72"/>
        <v>119852</v>
      </c>
      <c r="K68" s="6">
        <f t="shared" si="72"/>
        <v>122070</v>
      </c>
      <c r="L68" s="31">
        <f t="shared" si="72"/>
        <v>125111</v>
      </c>
      <c r="M68" s="6">
        <f t="shared" si="72"/>
        <v>128567</v>
      </c>
      <c r="N68" s="6">
        <f t="shared" si="72"/>
        <v>133735</v>
      </c>
      <c r="O68" s="1"/>
      <c r="P68" s="1"/>
      <c r="Q68" s="6">
        <f>SUM(Q62:Q67)</f>
        <v>52148</v>
      </c>
      <c r="R68" s="6">
        <f>SUM(R62:R67)</f>
        <v>62131</v>
      </c>
      <c r="S68" s="6">
        <f>SUM(S62:S67)</f>
        <v>82338</v>
      </c>
      <c r="T68" s="6">
        <f>SUM(T62:T67)</f>
        <v>106618</v>
      </c>
      <c r="U68" s="6">
        <f>SUM(U62:U67)</f>
        <v>122070</v>
      </c>
      <c r="AB68" s="10"/>
      <c r="AC68" s="10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x14ac:dyDescent="0.3">
      <c r="A69" s="9"/>
      <c r="B69" s="9"/>
      <c r="D69" s="1"/>
      <c r="E69" s="1"/>
      <c r="F69" s="1"/>
      <c r="G69" s="1"/>
      <c r="H69" s="1"/>
      <c r="I69" s="1"/>
      <c r="J69" s="1"/>
      <c r="K69" s="1"/>
      <c r="L69" s="30"/>
      <c r="M69" s="1"/>
      <c r="N69" s="1"/>
      <c r="O69" s="1"/>
      <c r="P69" s="1"/>
      <c r="Q69" s="1"/>
      <c r="R69" s="1"/>
      <c r="S69" s="1"/>
      <c r="T69" s="1"/>
      <c r="U69" s="1"/>
      <c r="AB69" s="10"/>
      <c r="AC69" s="10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x14ac:dyDescent="0.3">
      <c r="A70" s="7" t="s">
        <v>41</v>
      </c>
      <c r="B70" s="8"/>
      <c r="C70" t="s">
        <v>42</v>
      </c>
      <c r="D70" s="1">
        <v>2513</v>
      </c>
      <c r="E70" s="1">
        <v>2703</v>
      </c>
      <c r="F70" s="1">
        <v>1853</v>
      </c>
      <c r="G70" s="1">
        <v>7928</v>
      </c>
      <c r="H70" s="1">
        <v>1390</v>
      </c>
      <c r="I70" s="1">
        <v>1400</v>
      </c>
      <c r="J70" s="6">
        <v>2167</v>
      </c>
      <c r="K70" s="1">
        <v>2134</v>
      </c>
      <c r="L70" s="30">
        <v>409</v>
      </c>
      <c r="M70" s="1">
        <f>1172-409</f>
        <v>763</v>
      </c>
      <c r="N70" s="1">
        <v>1373</v>
      </c>
      <c r="O70" s="1"/>
      <c r="P70" s="1"/>
      <c r="Q70" s="1">
        <v>721</v>
      </c>
      <c r="R70" s="1">
        <v>5519</v>
      </c>
      <c r="S70" s="1">
        <v>12556</v>
      </c>
      <c r="T70" s="1">
        <v>14997</v>
      </c>
      <c r="U70" s="1">
        <v>7091</v>
      </c>
      <c r="AB70" s="10"/>
      <c r="AC70" s="10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x14ac:dyDescent="0.3">
      <c r="A71" s="9"/>
      <c r="B71" s="9"/>
      <c r="C71" t="s">
        <v>79</v>
      </c>
      <c r="D71" s="1">
        <v>2539</v>
      </c>
      <c r="E71" s="1">
        <v>5153</v>
      </c>
      <c r="F71" s="1">
        <v>7031</v>
      </c>
      <c r="G71" s="1">
        <f>14974-14723</f>
        <v>251</v>
      </c>
      <c r="H71" s="1">
        <v>1144</v>
      </c>
      <c r="I71" s="1">
        <f>2638-H71</f>
        <v>1494</v>
      </c>
      <c r="J71" s="1">
        <f>4821-2638</f>
        <v>2183</v>
      </c>
      <c r="K71" s="1">
        <f>7153-4821</f>
        <v>2332</v>
      </c>
      <c r="L71" s="30">
        <v>420</v>
      </c>
      <c r="M71" s="1">
        <f>1610-420</f>
        <v>1190</v>
      </c>
      <c r="N71" s="1">
        <f>2999-1610</f>
        <v>1389</v>
      </c>
      <c r="O71" s="1"/>
      <c r="P71" s="1"/>
      <c r="Q71" s="1">
        <v>862</v>
      </c>
      <c r="R71" s="1">
        <v>5644</v>
      </c>
      <c r="S71" s="1">
        <v>12587</v>
      </c>
      <c r="T71" s="1">
        <v>14974</v>
      </c>
      <c r="U71" s="1">
        <v>7153</v>
      </c>
      <c r="AB71" s="10"/>
      <c r="AC71" s="10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x14ac:dyDescent="0.3">
      <c r="A72" s="9"/>
      <c r="B72" s="9"/>
      <c r="C72" t="s">
        <v>61</v>
      </c>
      <c r="D72" s="1">
        <v>1046</v>
      </c>
      <c r="E72" s="1">
        <v>2200</v>
      </c>
      <c r="F72" s="1">
        <v>3435</v>
      </c>
      <c r="G72" s="1">
        <f>4667-6681</f>
        <v>-2014</v>
      </c>
      <c r="H72" s="1">
        <v>1246</v>
      </c>
      <c r="I72" s="1">
        <f>2524-H72</f>
        <v>1278</v>
      </c>
      <c r="J72" s="1">
        <f>3872-2524</f>
        <v>1348</v>
      </c>
      <c r="K72" s="1">
        <f>5368-3872</f>
        <v>1496</v>
      </c>
      <c r="L72" s="30">
        <v>1447</v>
      </c>
      <c r="M72" s="1">
        <f>2880-1447</f>
        <v>1433</v>
      </c>
      <c r="N72" s="1">
        <f>4505-2880</f>
        <v>1625</v>
      </c>
      <c r="O72" s="1"/>
      <c r="P72" s="1"/>
      <c r="Q72" s="1">
        <v>2322</v>
      </c>
      <c r="R72" s="1">
        <v>2911</v>
      </c>
      <c r="S72" s="1">
        <v>3747</v>
      </c>
      <c r="T72" s="1">
        <v>4667</v>
      </c>
      <c r="U72" s="1">
        <v>5368</v>
      </c>
      <c r="AB72" s="10"/>
      <c r="AC72" s="10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x14ac:dyDescent="0.3">
      <c r="A73" s="9"/>
      <c r="B73" s="9"/>
      <c r="C73" t="s">
        <v>43</v>
      </c>
      <c r="D73" s="1">
        <v>418</v>
      </c>
      <c r="E73" s="1">
        <v>863</v>
      </c>
      <c r="F73" s="1">
        <v>1328</v>
      </c>
      <c r="G73" s="1">
        <f>1812-2609</f>
        <v>-797</v>
      </c>
      <c r="H73" s="1">
        <v>524</v>
      </c>
      <c r="I73" s="1">
        <f>963-H73</f>
        <v>439</v>
      </c>
      <c r="J73" s="1">
        <f>1420-963</f>
        <v>457</v>
      </c>
      <c r="K73" s="1">
        <f>1999-1420</f>
        <v>579</v>
      </c>
      <c r="L73" s="30">
        <v>573</v>
      </c>
      <c r="M73" s="1">
        <f>1208-573</f>
        <v>635</v>
      </c>
      <c r="N73" s="1">
        <f>1871-1208</f>
        <v>663</v>
      </c>
      <c r="O73" s="1"/>
      <c r="P73" s="1"/>
      <c r="Q73" s="1">
        <v>1734</v>
      </c>
      <c r="R73" s="1">
        <v>2121</v>
      </c>
      <c r="S73" s="1">
        <v>1560</v>
      </c>
      <c r="T73" s="1">
        <v>1812</v>
      </c>
      <c r="U73" s="1">
        <v>1999</v>
      </c>
      <c r="AB73" s="10"/>
      <c r="AC73" s="10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x14ac:dyDescent="0.3">
      <c r="A74" s="9"/>
      <c r="B74" s="9"/>
      <c r="C74" t="s">
        <v>44</v>
      </c>
      <c r="D74" s="1">
        <f>50-25+15</f>
        <v>40</v>
      </c>
      <c r="E74" s="1">
        <f>217-283+59</f>
        <v>-7</v>
      </c>
      <c r="F74" s="1">
        <f>361-317+94</f>
        <v>138</v>
      </c>
      <c r="G74" s="1">
        <f>-5949-171</f>
        <v>-6120</v>
      </c>
      <c r="H74" s="1">
        <f>68-63-11-5</f>
        <v>-11</v>
      </c>
      <c r="I74" s="1">
        <f>252+11</f>
        <v>263</v>
      </c>
      <c r="J74" s="1">
        <f>945-263</f>
        <v>682</v>
      </c>
      <c r="K74" s="1">
        <f>322-945</f>
        <v>-623</v>
      </c>
      <c r="L74" s="30">
        <f>112+30-43+46+125</f>
        <v>270</v>
      </c>
      <c r="M74" s="1">
        <f>225-270</f>
        <v>-45</v>
      </c>
      <c r="N74" s="1">
        <f>703-225</f>
        <v>478</v>
      </c>
      <c r="O74" s="1"/>
      <c r="P74" s="1"/>
      <c r="Q74" s="1">
        <f>180+202+117+114+228</f>
        <v>841</v>
      </c>
      <c r="R74" s="1">
        <f>140-55+245-27</f>
        <v>303</v>
      </c>
      <c r="S74" s="1">
        <f>177+81+340+140</f>
        <v>738</v>
      </c>
      <c r="T74" s="1">
        <f>463-144-6349+81</f>
        <v>-5949</v>
      </c>
      <c r="U74" s="1">
        <f>335-73+477+172-589</f>
        <v>322</v>
      </c>
      <c r="AB74" s="10"/>
      <c r="AC74" s="10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x14ac:dyDescent="0.3">
      <c r="A75" s="9"/>
      <c r="B75" s="9"/>
      <c r="C75" t="s">
        <v>45</v>
      </c>
      <c r="D75" s="1">
        <f>-32-1540-675-79-729+797+108+620</f>
        <v>-1530</v>
      </c>
      <c r="E75" s="1">
        <f>-504-2116-1387-5-1854+934+661+16+1624</f>
        <v>-2631</v>
      </c>
      <c r="F75" s="1">
        <f>377-1953-1858+322-2655-24+774-95+2066</f>
        <v>-3046</v>
      </c>
      <c r="G75" s="1">
        <f>-2248+7207</f>
        <v>4959</v>
      </c>
      <c r="H75" s="1">
        <f>-422+-2697-12-972+1247+195</f>
        <v>-2661</v>
      </c>
      <c r="I75" s="1">
        <f>(-285-914-49-1630+249+106)+2661</f>
        <v>138</v>
      </c>
      <c r="J75" s="1">
        <f>-949+2523</f>
        <v>1574</v>
      </c>
      <c r="K75" s="1">
        <f>81+949</f>
        <v>1030</v>
      </c>
      <c r="L75" s="30">
        <f>630+-1704-76-419+706+309</f>
        <v>-554</v>
      </c>
      <c r="M75" s="1">
        <f>-1227+554</f>
        <v>-673</v>
      </c>
      <c r="N75" s="1">
        <f>856+1227</f>
        <v>2083</v>
      </c>
      <c r="O75" s="1"/>
      <c r="P75" s="1"/>
      <c r="Q75" s="30">
        <f>-652+-422-1072-251-344+2102+321+7+495</f>
        <v>184</v>
      </c>
      <c r="R75" s="30">
        <f>-130-1709-2114-271-1291+4578+793+186+476</f>
        <v>518</v>
      </c>
      <c r="S75" s="30">
        <f>-1124-6465-1570-1417-2551+6029+1131+155+1904</f>
        <v>-3908</v>
      </c>
      <c r="T75" s="30">
        <f>-586-1195-1952-2652+2605+1532</f>
        <v>-2248</v>
      </c>
      <c r="U75" s="30">
        <f>-1083+937-590-3273+3588+502</f>
        <v>81</v>
      </c>
      <c r="AB75" s="10"/>
      <c r="AC75" s="10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x14ac:dyDescent="0.3">
      <c r="A76" s="9"/>
      <c r="B76" s="9"/>
      <c r="C76" t="s">
        <v>46</v>
      </c>
      <c r="D76" s="30">
        <f t="shared" ref="D76:G76" si="73">SUM(D71:D75)</f>
        <v>2513</v>
      </c>
      <c r="E76" s="30">
        <f t="shared" si="73"/>
        <v>5578</v>
      </c>
      <c r="F76" s="30">
        <f t="shared" si="73"/>
        <v>8886</v>
      </c>
      <c r="G76" s="30">
        <f t="shared" si="73"/>
        <v>-3721</v>
      </c>
      <c r="H76" s="30">
        <f t="shared" ref="H76:K76" si="74">SUM(H71:H75)</f>
        <v>242</v>
      </c>
      <c r="I76" s="30">
        <f t="shared" si="74"/>
        <v>3612</v>
      </c>
      <c r="J76" s="30">
        <f t="shared" si="74"/>
        <v>6244</v>
      </c>
      <c r="K76" s="30">
        <f t="shared" si="74"/>
        <v>4814</v>
      </c>
      <c r="L76" s="30">
        <f>SUM(L71:L75)</f>
        <v>2156</v>
      </c>
      <c r="M76" s="34">
        <f t="shared" ref="M76:N76" si="75">SUM(M71:M75)</f>
        <v>2540</v>
      </c>
      <c r="N76" s="30">
        <f t="shared" si="75"/>
        <v>6238</v>
      </c>
      <c r="O76" s="1"/>
      <c r="P76" s="1"/>
      <c r="Q76" s="30">
        <f t="shared" ref="Q76:U76" si="76">SUM(Q71:Q75)</f>
        <v>5943</v>
      </c>
      <c r="R76" s="30">
        <f t="shared" si="76"/>
        <v>11497</v>
      </c>
      <c r="S76" s="30">
        <f t="shared" si="76"/>
        <v>14724</v>
      </c>
      <c r="T76" s="30">
        <f t="shared" si="76"/>
        <v>13256</v>
      </c>
      <c r="U76" s="30">
        <f t="shared" si="76"/>
        <v>14923</v>
      </c>
      <c r="AB76" s="10"/>
      <c r="AC76" s="10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x14ac:dyDescent="0.3">
      <c r="A77" s="9"/>
      <c r="B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B77" s="10"/>
      <c r="AC77" s="10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x14ac:dyDescent="0.3">
      <c r="A78" s="9"/>
      <c r="B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B78" s="10"/>
      <c r="AC78" s="10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x14ac:dyDescent="0.3">
      <c r="A79" s="9"/>
      <c r="B79" s="9"/>
      <c r="G79" s="1"/>
      <c r="K79" s="1"/>
      <c r="L79" s="31"/>
      <c r="P79" s="1"/>
      <c r="AB79" s="10"/>
      <c r="AC79" s="10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x14ac:dyDescent="0.3">
      <c r="A80" s="9"/>
      <c r="B80" s="9"/>
      <c r="AB80" s="10"/>
      <c r="AC80" s="10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ht="6.75" customHeight="1" x14ac:dyDescent="0.3">
      <c r="A81" s="9"/>
      <c r="B81" s="9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7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x14ac:dyDescent="0.3">
      <c r="A82" s="9"/>
      <c r="B82" s="9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9"/>
      <c r="AC82" s="15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</sheetData>
  <pageMargins left="0.7" right="0.7" top="0.75" bottom="0.75" header="0.3" footer="0.3"/>
  <ignoredErrors>
    <ignoredError sqref="D18:F18 H18:J18 L18:N1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2026-01-25T14:05:36Z</dcterms:modified>
</cp:coreProperties>
</file>