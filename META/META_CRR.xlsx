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A953CAD-0621-4509-8628-F5716EFE4345}" xr6:coauthVersionLast="47" xr6:coauthVersionMax="47" xr10:uidLastSave="{00000000-0000-0000-0000-000000000000}"/>
  <bookViews>
    <workbookView xWindow="-28920" yWindow="660" windowWidth="29040" windowHeight="15720" xr2:uid="{E1435971-A588-45C3-BB00-83ACB915F087}"/>
  </bookViews>
  <sheets>
    <sheet name="CRR" sheetId="1" r:id="rId1"/>
  </sheets>
  <definedNames>
    <definedName name="d1_">CRR!#REF!</definedName>
    <definedName name="d2_">CRR!#REF!</definedName>
    <definedName name="K">CRR!$F$23</definedName>
    <definedName name="r_">CRR!$F$25</definedName>
    <definedName name="S" localSheetId="0">CRR!$E$8</definedName>
    <definedName name="S">CRR!$F$22</definedName>
    <definedName name="t" localSheetId="0">CRR!$F$16</definedName>
    <definedName name="T">CRR!$F$24</definedName>
    <definedName name="σ">CRR!$F$27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1" l="1"/>
  <c r="F16" i="1" l="1"/>
  <c r="F20" i="1" s="1"/>
  <c r="D26" i="1"/>
  <c r="E50" i="1" s="1"/>
  <c r="E57" i="1" l="1"/>
  <c r="E55" i="1"/>
  <c r="F17" i="1"/>
  <c r="E27" i="1" s="1"/>
  <c r="E51" i="1" s="1"/>
  <c r="E54" i="1" s="1"/>
  <c r="F18" i="1" l="1"/>
  <c r="E28" i="1" s="1"/>
  <c r="E38" i="1" s="1"/>
  <c r="F29" i="1"/>
  <c r="D38" i="1"/>
  <c r="F19" i="1" l="1"/>
  <c r="E39" i="1" s="1"/>
  <c r="D36" i="1"/>
  <c r="E52" i="1"/>
  <c r="F31" i="1"/>
  <c r="E58" i="1"/>
  <c r="F30" i="1"/>
  <c r="D39" i="1"/>
  <c r="F36" i="1" l="1"/>
  <c r="E59" i="1"/>
  <c r="C41" i="1"/>
  <c r="D43" i="1" s="1"/>
  <c r="D44" i="1"/>
</calcChain>
</file>

<file path=xl/sharedStrings.xml><?xml version="1.0" encoding="utf-8"?>
<sst xmlns="http://schemas.openxmlformats.org/spreadsheetml/2006/main" count="65" uniqueCount="61">
  <si>
    <t>Inputs</t>
  </si>
  <si>
    <t>Underlying price</t>
  </si>
  <si>
    <t>Strike Price</t>
  </si>
  <si>
    <t>Time to Expiration</t>
  </si>
  <si>
    <t>Risk Free Rate</t>
  </si>
  <si>
    <t>Volatility</t>
  </si>
  <si>
    <t>S</t>
  </si>
  <si>
    <t>K</t>
  </si>
  <si>
    <t>T</t>
  </si>
  <si>
    <t>r</t>
  </si>
  <si>
    <t>σ</t>
  </si>
  <si>
    <t xml:space="preserve">‎ </t>
  </si>
  <si>
    <t>Steps</t>
  </si>
  <si>
    <t>6 month each</t>
  </si>
  <si>
    <t>n</t>
  </si>
  <si>
    <t>Up Factor</t>
  </si>
  <si>
    <t>Down Factor</t>
  </si>
  <si>
    <t>Risk Neutral Prob</t>
  </si>
  <si>
    <t>Discount Factor</t>
  </si>
  <si>
    <t>Calculated Constants</t>
  </si>
  <si>
    <t>Tree1: Stock price (Forward Pass)</t>
  </si>
  <si>
    <t>UP</t>
  </si>
  <si>
    <t>DOWN</t>
  </si>
  <si>
    <t>UP-UP</t>
  </si>
  <si>
    <t>UP-DOWN</t>
  </si>
  <si>
    <t>DOWN-DOWN</t>
  </si>
  <si>
    <t>-</t>
  </si>
  <si>
    <t>Tree2: Option Value (Backward Pass)</t>
  </si>
  <si>
    <t>if</t>
  </si>
  <si>
    <t>value</t>
  </si>
  <si>
    <t>Node</t>
  </si>
  <si>
    <t>UU</t>
  </si>
  <si>
    <t>UD</t>
  </si>
  <si>
    <t>DD</t>
  </si>
  <si>
    <t>MAX</t>
  </si>
  <si>
    <t>Expiration Values</t>
  </si>
  <si>
    <t>Step1 Values</t>
  </si>
  <si>
    <t>Fair Value</t>
  </si>
  <si>
    <t>Today's Value</t>
  </si>
  <si>
    <t>Last Modified 2/28/2026</t>
  </si>
  <si>
    <t>Cox-Ross-Rubinstein Model (CRR)</t>
  </si>
  <si>
    <t>CRR</t>
  </si>
  <si>
    <t>Visualization</t>
  </si>
  <si>
    <t>u</t>
  </si>
  <si>
    <t>d</t>
  </si>
  <si>
    <t>t</t>
  </si>
  <si>
    <t>p</t>
  </si>
  <si>
    <t>df</t>
  </si>
  <si>
    <t>Time Step</t>
  </si>
  <si>
    <t>An option can never have a negative value</t>
  </si>
  <si>
    <t>Delta</t>
  </si>
  <si>
    <t>X (Time)</t>
  </si>
  <si>
    <t>Y (Price/Value)</t>
  </si>
  <si>
    <t>Start</t>
  </si>
  <si>
    <t>Up 1</t>
  </si>
  <si>
    <t>Up-Up 2</t>
  </si>
  <si>
    <t>Up-Down 2</t>
  </si>
  <si>
    <t>Down 1</t>
  </si>
  <si>
    <t>Down-Down 2</t>
  </si>
  <si>
    <t xml:space="preserve">Node </t>
  </si>
  <si>
    <t>(Binomial Options Pricing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</si>
</sst>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2" fillId="0" borderId="0" xfId="0" applyFont="1"/>
    <xf numFmtId="0" fontId="1" fillId="2" borderId="0" xfId="0" applyFont="1" applyFill="1"/>
    <xf numFmtId="0" fontId="0" fillId="0" borderId="3" xfId="0" applyBorder="1"/>
    <xf numFmtId="0" fontId="0" fillId="2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3" fillId="0" borderId="7" xfId="0" applyFont="1" applyBorder="1"/>
    <xf numFmtId="0" fontId="0" fillId="0" borderId="2" xfId="0" applyBorder="1"/>
    <xf numFmtId="164" fontId="0" fillId="0" borderId="7" xfId="0" applyNumberFormat="1" applyBorder="1"/>
    <xf numFmtId="10" fontId="0" fillId="0" borderId="7" xfId="0" applyNumberFormat="1" applyBorder="1"/>
    <xf numFmtId="0" fontId="5" fillId="0" borderId="7" xfId="0" applyFont="1" applyBorder="1"/>
    <xf numFmtId="4" fontId="0" fillId="0" borderId="7" xfId="0" applyNumberFormat="1" applyBorder="1"/>
    <xf numFmtId="0" fontId="0" fillId="0" borderId="11" xfId="0" applyBorder="1"/>
    <xf numFmtId="0" fontId="0" fillId="0" borderId="12" xfId="0" applyBorder="1"/>
    <xf numFmtId="0" fontId="4" fillId="0" borderId="11" xfId="0" applyFont="1" applyBorder="1"/>
    <xf numFmtId="0" fontId="0" fillId="0" borderId="13" xfId="0" applyBorder="1"/>
    <xf numFmtId="0" fontId="4" fillId="0" borderId="13" xfId="0" applyFont="1" applyBorder="1"/>
    <xf numFmtId="0" fontId="5" fillId="0" borderId="0" xfId="0" applyFont="1"/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4" fontId="4" fillId="0" borderId="7" xfId="0" applyNumberFormat="1" applyFont="1" applyBorder="1"/>
    <xf numFmtId="0" fontId="0" fillId="0" borderId="15" xfId="0" applyBorder="1"/>
    <xf numFmtId="4" fontId="0" fillId="0" borderId="15" xfId="0" applyNumberFormat="1" applyBorder="1"/>
    <xf numFmtId="164" fontId="0" fillId="0" borderId="15" xfId="0" applyNumberFormat="1" applyBorder="1"/>
    <xf numFmtId="0" fontId="4" fillId="0" borderId="14" xfId="0" applyFont="1" applyBorder="1"/>
    <xf numFmtId="4" fontId="4" fillId="0" borderId="14" xfId="0" applyNumberFormat="1" applyFont="1" applyBorder="1"/>
    <xf numFmtId="0" fontId="0" fillId="0" borderId="14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56714785651793"/>
          <c:y val="5.0996902086268343E-2"/>
          <c:w val="0.83261351706036746"/>
          <c:h val="0.8414544843925106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CRR!$D$50:$D$59</c:f>
              <c:numCache>
                <c:formatCode>#,##0.00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4">
                  <c:v>0.5</c:v>
                </c:pt>
                <c:pt idx="5">
                  <c:v>1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</c:numCache>
            </c:numRef>
          </c:xVal>
          <c:yVal>
            <c:numRef>
              <c:f>CRR!$E$50:$E$59</c:f>
              <c:numCache>
                <c:formatCode>"$"#,##0.00</c:formatCode>
                <c:ptCount val="10"/>
                <c:pt idx="0">
                  <c:v>648</c:v>
                </c:pt>
                <c:pt idx="1">
                  <c:v>801.12959917877447</c:v>
                </c:pt>
                <c:pt idx="2">
                  <c:v>990.44542388941954</c:v>
                </c:pt>
                <c:pt idx="4">
                  <c:v>801.12959917877447</c:v>
                </c:pt>
                <c:pt idx="5">
                  <c:v>648</c:v>
                </c:pt>
                <c:pt idx="7">
                  <c:v>648</c:v>
                </c:pt>
                <c:pt idx="8">
                  <c:v>524.13991497809729</c:v>
                </c:pt>
                <c:pt idx="9">
                  <c:v>423.95470752044298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F-4581-A42E-853EF3184C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55777664"/>
        <c:axId val="631709888"/>
      </c:scatterChart>
      <c:valAx>
        <c:axId val="555777664"/>
        <c:scaling>
          <c:orientation val="minMax"/>
          <c:max val="1"/>
        </c:scaling>
        <c:delete val="0"/>
        <c:axPos val="b"/>
        <c:numFmt formatCode="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09888"/>
        <c:crosses val="autoZero"/>
        <c:crossBetween val="midCat"/>
        <c:majorUnit val="0.5"/>
      </c:valAx>
      <c:valAx>
        <c:axId val="631709888"/>
        <c:scaling>
          <c:orientation val="minMax"/>
          <c:max val="1000"/>
          <c:min val="400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77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119</xdr:row>
      <xdr:rowOff>154305</xdr:rowOff>
    </xdr:from>
    <xdr:to>
      <xdr:col>11</xdr:col>
      <xdr:colOff>381454</xdr:colOff>
      <xdr:row>146</xdr:row>
      <xdr:rowOff>55662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C00E4C-AD7F-770E-0728-65FA8C53D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9518630"/>
          <a:ext cx="5222059" cy="4801017"/>
        </a:xfrm>
        <a:prstGeom prst="rect">
          <a:avLst/>
        </a:prstGeom>
      </xdr:spPr>
    </xdr:pic>
    <xdr:clientData/>
  </xdr:twoCellAnchor>
  <xdr:twoCellAnchor editAs="oneCell">
    <xdr:from>
      <xdr:col>10</xdr:col>
      <xdr:colOff>415290</xdr:colOff>
      <xdr:row>7</xdr:row>
      <xdr:rowOff>161925</xdr:rowOff>
    </xdr:from>
    <xdr:to>
      <xdr:col>16</xdr:col>
      <xdr:colOff>226997</xdr:colOff>
      <xdr:row>32</xdr:row>
      <xdr:rowOff>57532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11323FA-9964-F406-7CEB-2F2F8D350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5090" y="1428750"/>
          <a:ext cx="3469307" cy="4410457"/>
        </a:xfrm>
        <a:prstGeom prst="rect">
          <a:avLst/>
        </a:prstGeom>
      </xdr:spPr>
    </xdr:pic>
    <xdr:clientData/>
  </xdr:twoCellAnchor>
  <xdr:twoCellAnchor editAs="oneCell">
    <xdr:from>
      <xdr:col>11</xdr:col>
      <xdr:colOff>502920</xdr:colOff>
      <xdr:row>31</xdr:row>
      <xdr:rowOff>125730</xdr:rowOff>
    </xdr:from>
    <xdr:to>
      <xdr:col>15</xdr:col>
      <xdr:colOff>34461</xdr:colOff>
      <xdr:row>35</xdr:row>
      <xdr:rowOff>59112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2A6E2D-4F05-77F7-9417-43B328F24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2320" y="5916930"/>
          <a:ext cx="1969941" cy="661092"/>
        </a:xfrm>
        <a:prstGeom prst="rect">
          <a:avLst/>
        </a:prstGeom>
      </xdr:spPr>
    </xdr:pic>
    <xdr:clientData/>
  </xdr:twoCellAnchor>
  <xdr:twoCellAnchor>
    <xdr:from>
      <xdr:col>11</xdr:col>
      <xdr:colOff>74295</xdr:colOff>
      <xdr:row>46</xdr:row>
      <xdr:rowOff>136207</xdr:rowOff>
    </xdr:from>
    <xdr:to>
      <xdr:col>18</xdr:col>
      <xdr:colOff>379095</xdr:colOff>
      <xdr:row>61</xdr:row>
      <xdr:rowOff>168592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198736-2BC8-3CA2-49D6-70728FE09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5BBF-6AA0-43DB-BD59-AA520EA135B4}">
  <dimension ref="A1:S211"/>
  <sheetViews>
    <sheetView tabSelected="1" workbookViewId="0">
      <selection activeCell="O39" sqref="O39"/>
    </sheetView>
  </sheetViews>
  <sheetFormatPr defaultRowHeight="14.4" x14ac:dyDescent="0.3"/>
  <cols>
    <col min="1" max="1" width="5.21875" style="12" customWidth="1"/>
    <col min="2" max="8" width="8.88671875" style="9"/>
    <col min="9" max="9" width="1.5546875" customWidth="1"/>
    <col min="10" max="10" width="1" customWidth="1"/>
    <col min="11" max="16384" width="8.88671875" style="1"/>
  </cols>
  <sheetData>
    <row r="1" spans="2:19" x14ac:dyDescent="0.3">
      <c r="B1" s="3" t="s">
        <v>39</v>
      </c>
      <c r="C1" s="3"/>
      <c r="D1" s="3"/>
      <c r="E1" s="3" t="s">
        <v>40</v>
      </c>
      <c r="F1" s="3"/>
      <c r="G1" s="3"/>
      <c r="H1" s="3"/>
      <c r="I1" s="4"/>
      <c r="J1" s="4"/>
    </row>
    <row r="2" spans="2:19" x14ac:dyDescent="0.3">
      <c r="B2" s="2" t="s">
        <v>41</v>
      </c>
      <c r="C2"/>
      <c r="D2"/>
      <c r="E2" s="33" t="s">
        <v>60</v>
      </c>
      <c r="F2"/>
      <c r="G2"/>
      <c r="H2"/>
      <c r="I2" s="6"/>
      <c r="J2" s="4"/>
    </row>
    <row r="3" spans="2:19" x14ac:dyDescent="0.3">
      <c r="B3"/>
      <c r="C3"/>
      <c r="D3"/>
      <c r="E3"/>
      <c r="F3"/>
      <c r="G3"/>
      <c r="H3"/>
      <c r="I3" s="6"/>
      <c r="J3" s="4"/>
    </row>
    <row r="4" spans="2:19" x14ac:dyDescent="0.3">
      <c r="B4"/>
      <c r="C4"/>
      <c r="D4"/>
      <c r="E4"/>
      <c r="F4"/>
      <c r="G4"/>
      <c r="H4"/>
      <c r="I4" s="6"/>
      <c r="J4" s="4"/>
    </row>
    <row r="5" spans="2:19" x14ac:dyDescent="0.3">
      <c r="B5" s="5"/>
      <c r="C5" s="5"/>
      <c r="D5" s="5"/>
      <c r="E5" s="5"/>
      <c r="F5" s="5"/>
      <c r="G5" s="5"/>
      <c r="H5" s="5"/>
      <c r="I5" s="4"/>
      <c r="J5" s="4"/>
      <c r="L5" s="5"/>
      <c r="M5" s="5"/>
      <c r="N5" s="5"/>
      <c r="O5" s="5"/>
      <c r="P5" s="5"/>
      <c r="Q5" s="5"/>
      <c r="R5" s="5"/>
      <c r="S5" s="5"/>
    </row>
    <row r="6" spans="2:19" x14ac:dyDescent="0.3">
      <c r="I6" s="6"/>
      <c r="J6" s="4"/>
    </row>
    <row r="7" spans="2:19" x14ac:dyDescent="0.3">
      <c r="C7" s="23" t="s">
        <v>0</v>
      </c>
      <c r="D7" s="24"/>
      <c r="E7" s="24"/>
      <c r="F7" s="25"/>
      <c r="I7" s="6"/>
      <c r="J7" s="4"/>
    </row>
    <row r="8" spans="2:19" x14ac:dyDescent="0.3">
      <c r="C8" s="9" t="s">
        <v>1</v>
      </c>
      <c r="E8" s="10" t="s">
        <v>6</v>
      </c>
      <c r="F8" s="13">
        <v>648</v>
      </c>
      <c r="G8" s="11"/>
      <c r="H8" s="11"/>
      <c r="I8" s="6"/>
      <c r="J8" s="4"/>
    </row>
    <row r="9" spans="2:19" x14ac:dyDescent="0.3">
      <c r="C9" s="9" t="s">
        <v>2</v>
      </c>
      <c r="E9" s="10" t="s">
        <v>7</v>
      </c>
      <c r="F9" s="13">
        <v>700</v>
      </c>
      <c r="I9" s="6"/>
      <c r="J9" s="4"/>
    </row>
    <row r="10" spans="2:19" x14ac:dyDescent="0.3">
      <c r="C10" s="9" t="s">
        <v>3</v>
      </c>
      <c r="E10" s="10" t="s">
        <v>8</v>
      </c>
      <c r="F10" s="9">
        <v>1</v>
      </c>
      <c r="I10" s="6"/>
      <c r="J10" s="4"/>
    </row>
    <row r="11" spans="2:19" x14ac:dyDescent="0.3">
      <c r="C11" s="9" t="s">
        <v>4</v>
      </c>
      <c r="E11" s="10" t="s">
        <v>9</v>
      </c>
      <c r="F11" s="14">
        <v>3.5099999999999999E-2</v>
      </c>
      <c r="I11" s="6"/>
      <c r="J11" s="4"/>
    </row>
    <row r="12" spans="2:19" x14ac:dyDescent="0.3">
      <c r="C12" s="9" t="s">
        <v>5</v>
      </c>
      <c r="E12" s="10" t="s">
        <v>10</v>
      </c>
      <c r="F12" s="14">
        <v>0.3</v>
      </c>
      <c r="I12" s="6"/>
      <c r="J12" s="4"/>
    </row>
    <row r="13" spans="2:19" x14ac:dyDescent="0.3">
      <c r="C13" s="9" t="s">
        <v>12</v>
      </c>
      <c r="E13" s="10" t="s">
        <v>14</v>
      </c>
      <c r="F13" s="9">
        <v>2</v>
      </c>
      <c r="G13" s="15" t="s">
        <v>13</v>
      </c>
      <c r="H13" s="22"/>
      <c r="I13" s="6"/>
      <c r="J13" s="4"/>
    </row>
    <row r="14" spans="2:19" x14ac:dyDescent="0.3">
      <c r="E14" s="10"/>
      <c r="G14" s="15"/>
      <c r="H14" s="22"/>
      <c r="I14" s="6"/>
      <c r="J14" s="4"/>
    </row>
    <row r="15" spans="2:19" x14ac:dyDescent="0.3">
      <c r="C15" s="23" t="s">
        <v>19</v>
      </c>
      <c r="D15" s="24"/>
      <c r="E15" s="24"/>
      <c r="F15" s="25"/>
      <c r="I15" s="6"/>
      <c r="J15" s="4"/>
    </row>
    <row r="16" spans="2:19" x14ac:dyDescent="0.3">
      <c r="C16" s="9" t="s">
        <v>48</v>
      </c>
      <c r="E16" s="9" t="s">
        <v>45</v>
      </c>
      <c r="F16" s="16">
        <f>1/F13</f>
        <v>0.5</v>
      </c>
      <c r="I16" s="6"/>
      <c r="J16" s="4"/>
    </row>
    <row r="17" spans="3:10" x14ac:dyDescent="0.3">
      <c r="C17" s="9" t="s">
        <v>15</v>
      </c>
      <c r="E17" s="9" t="s">
        <v>43</v>
      </c>
      <c r="F17" s="16">
        <f>EXP(F12*SQRT(F16))</f>
        <v>1.2363111098437878</v>
      </c>
      <c r="I17" s="6"/>
      <c r="J17" s="4"/>
    </row>
    <row r="18" spans="3:10" x14ac:dyDescent="0.3">
      <c r="C18" s="9" t="s">
        <v>16</v>
      </c>
      <c r="E18" s="9" t="s">
        <v>44</v>
      </c>
      <c r="F18" s="16">
        <f>1/F17</f>
        <v>0.80885789348471804</v>
      </c>
      <c r="I18" s="6"/>
      <c r="J18" s="4"/>
    </row>
    <row r="19" spans="3:10" x14ac:dyDescent="0.3">
      <c r="C19" s="9" t="s">
        <v>17</v>
      </c>
      <c r="E19" s="9" t="s">
        <v>46</v>
      </c>
      <c r="F19" s="16">
        <f>(EXP(F11*F16)-F18)/(F17-F18)</f>
        <v>0.48858449216534633</v>
      </c>
      <c r="G19" s="13"/>
      <c r="H19" s="13"/>
      <c r="I19" s="6"/>
      <c r="J19" s="4"/>
    </row>
    <row r="20" spans="3:10" x14ac:dyDescent="0.3">
      <c r="C20" s="9" t="s">
        <v>18</v>
      </c>
      <c r="E20" s="9" t="s">
        <v>47</v>
      </c>
      <c r="F20" s="16">
        <f>EXP(-F11*F16)</f>
        <v>0.9826031042815847</v>
      </c>
      <c r="I20" s="6"/>
      <c r="J20" s="4"/>
    </row>
    <row r="21" spans="3:10" x14ac:dyDescent="0.3">
      <c r="I21" s="6"/>
      <c r="J21" s="4"/>
    </row>
    <row r="22" spans="3:10" x14ac:dyDescent="0.3">
      <c r="C22" s="23" t="s">
        <v>20</v>
      </c>
      <c r="D22" s="24"/>
      <c r="E22" s="24"/>
      <c r="F22" s="25"/>
      <c r="I22" s="6"/>
      <c r="J22" s="4"/>
    </row>
    <row r="23" spans="3:10" x14ac:dyDescent="0.3">
      <c r="I23" s="6"/>
      <c r="J23" s="4"/>
    </row>
    <row r="24" spans="3:10" x14ac:dyDescent="0.3">
      <c r="C24" s="9" t="s">
        <v>12</v>
      </c>
      <c r="D24" s="9">
        <v>0</v>
      </c>
      <c r="E24" s="9">
        <v>1</v>
      </c>
      <c r="F24" s="9">
        <v>2</v>
      </c>
      <c r="I24" s="6"/>
      <c r="J24" s="4"/>
    </row>
    <row r="25" spans="3:10" x14ac:dyDescent="0.3">
      <c r="D25" s="9">
        <v>0</v>
      </c>
      <c r="E25" s="9">
        <v>0.5</v>
      </c>
      <c r="F25" s="9">
        <v>1</v>
      </c>
      <c r="I25" s="6"/>
      <c r="J25" s="4"/>
    </row>
    <row r="26" spans="3:10" x14ac:dyDescent="0.3">
      <c r="C26" s="9" t="s">
        <v>26</v>
      </c>
      <c r="D26" s="13">
        <f>F8</f>
        <v>648</v>
      </c>
      <c r="I26" s="6"/>
      <c r="J26" s="4"/>
    </row>
    <row r="27" spans="3:10" x14ac:dyDescent="0.3">
      <c r="C27" s="9" t="s">
        <v>21</v>
      </c>
      <c r="D27" s="13"/>
      <c r="E27" s="13">
        <f>D26*F17</f>
        <v>801.12959917877447</v>
      </c>
      <c r="I27" s="6"/>
      <c r="J27" s="4"/>
    </row>
    <row r="28" spans="3:10" x14ac:dyDescent="0.3">
      <c r="C28" s="9" t="s">
        <v>22</v>
      </c>
      <c r="E28" s="13">
        <f>F8*F18</f>
        <v>524.13991497809729</v>
      </c>
      <c r="I28" s="6"/>
      <c r="J28" s="4"/>
    </row>
    <row r="29" spans="3:10" x14ac:dyDescent="0.3">
      <c r="C29" s="9" t="s">
        <v>23</v>
      </c>
      <c r="F29" s="13">
        <f>E27*F17</f>
        <v>990.44542388941954</v>
      </c>
      <c r="I29" s="6"/>
      <c r="J29" s="4"/>
    </row>
    <row r="30" spans="3:10" x14ac:dyDescent="0.3">
      <c r="C30" s="9" t="s">
        <v>24</v>
      </c>
      <c r="F30" s="13">
        <f>E27*F18</f>
        <v>648</v>
      </c>
      <c r="G30" s="22"/>
      <c r="I30" s="6"/>
      <c r="J30" s="4"/>
    </row>
    <row r="31" spans="3:10" x14ac:dyDescent="0.3">
      <c r="C31" s="9" t="s">
        <v>25</v>
      </c>
      <c r="F31" s="13">
        <f>E28*F18</f>
        <v>423.95470752044298</v>
      </c>
      <c r="I31" s="6"/>
      <c r="J31" s="4"/>
    </row>
    <row r="32" spans="3:10" x14ac:dyDescent="0.3">
      <c r="I32" s="6"/>
      <c r="J32" s="4"/>
    </row>
    <row r="33" spans="2:19" x14ac:dyDescent="0.3">
      <c r="C33" s="23" t="s">
        <v>27</v>
      </c>
      <c r="D33" s="24"/>
      <c r="E33" s="24"/>
      <c r="F33" s="25"/>
      <c r="I33" s="6"/>
      <c r="J33" s="4"/>
    </row>
    <row r="34" spans="2:19" x14ac:dyDescent="0.3">
      <c r="C34" s="19" t="s">
        <v>35</v>
      </c>
      <c r="D34" s="17"/>
      <c r="E34" s="17"/>
      <c r="F34" s="17"/>
      <c r="I34" s="6"/>
      <c r="J34" s="4"/>
    </row>
    <row r="35" spans="2:19" x14ac:dyDescent="0.3">
      <c r="C35" s="18" t="s">
        <v>30</v>
      </c>
      <c r="D35" s="18" t="s">
        <v>31</v>
      </c>
      <c r="E35" s="18" t="s">
        <v>32</v>
      </c>
      <c r="F35" s="18" t="s">
        <v>33</v>
      </c>
      <c r="I35" s="6"/>
      <c r="J35" s="4"/>
    </row>
    <row r="36" spans="2:19" x14ac:dyDescent="0.3">
      <c r="C36" s="9" t="s">
        <v>34</v>
      </c>
      <c r="D36" s="13">
        <f>F29-$F$9</f>
        <v>290.44542388941954</v>
      </c>
      <c r="E36" s="13">
        <f>MAX(F8-F9, 0)</f>
        <v>0</v>
      </c>
      <c r="F36" s="13">
        <f>MAX(F31-$F$9, 0)</f>
        <v>0</v>
      </c>
      <c r="G36" s="22" t="s">
        <v>49</v>
      </c>
      <c r="H36" t="s">
        <v>11</v>
      </c>
      <c r="I36" s="6"/>
      <c r="J36" s="4"/>
    </row>
    <row r="37" spans="2:19" x14ac:dyDescent="0.3">
      <c r="C37" s="21" t="s">
        <v>36</v>
      </c>
      <c r="D37" s="20"/>
      <c r="E37" s="20"/>
      <c r="F37" s="20"/>
      <c r="I37" s="6"/>
      <c r="J37" s="4"/>
    </row>
    <row r="38" spans="2:19" x14ac:dyDescent="0.3">
      <c r="C38" s="9" t="s">
        <v>28</v>
      </c>
      <c r="D38" s="13">
        <f>E27</f>
        <v>801.12959917877447</v>
      </c>
      <c r="E38" s="13">
        <f>E28</f>
        <v>524.13991497809729</v>
      </c>
      <c r="I38" s="6"/>
      <c r="J38" s="4"/>
    </row>
    <row r="39" spans="2:19" x14ac:dyDescent="0.3">
      <c r="C39" s="9" t="s">
        <v>29</v>
      </c>
      <c r="D39" s="13">
        <f>((D36*F19)+(0*t))*F20</f>
        <v>139.43838639162095</v>
      </c>
      <c r="E39" s="9">
        <f>((0*F19)+(0*t))*F20</f>
        <v>0</v>
      </c>
      <c r="I39" s="6"/>
      <c r="J39" s="4"/>
    </row>
    <row r="40" spans="2:19" x14ac:dyDescent="0.3">
      <c r="C40" s="21" t="s">
        <v>38</v>
      </c>
      <c r="D40" s="20"/>
      <c r="E40" s="20"/>
      <c r="F40" s="20"/>
      <c r="I40" s="6"/>
      <c r="J40" s="4"/>
    </row>
    <row r="41" spans="2:19" x14ac:dyDescent="0.3">
      <c r="C41" s="13">
        <f>((D39*F19)+(0*F16))*F20</f>
        <v>66.94222735250078</v>
      </c>
      <c r="D41" s="13"/>
      <c r="E41" s="13"/>
      <c r="I41" s="6"/>
      <c r="J41" s="4"/>
    </row>
    <row r="42" spans="2:19" x14ac:dyDescent="0.3">
      <c r="D42" s="13"/>
      <c r="I42" s="6"/>
      <c r="J42" s="4"/>
    </row>
    <row r="43" spans="2:19" x14ac:dyDescent="0.3">
      <c r="C43" s="9" t="s">
        <v>37</v>
      </c>
      <c r="D43" s="13">
        <f>C41</f>
        <v>66.94222735250078</v>
      </c>
      <c r="I43" s="6"/>
      <c r="J43" s="4"/>
    </row>
    <row r="44" spans="2:19" x14ac:dyDescent="0.3">
      <c r="C44" s="9" t="s">
        <v>50</v>
      </c>
      <c r="D44" s="26">
        <f>(D39-E39)/(D38-E38)</f>
        <v>0.50340642393959611</v>
      </c>
      <c r="I44" s="6"/>
      <c r="J44" s="4"/>
    </row>
    <row r="45" spans="2:19" x14ac:dyDescent="0.3">
      <c r="D45" s="16"/>
      <c r="I45" s="6"/>
      <c r="J45" s="4"/>
    </row>
    <row r="46" spans="2:19" x14ac:dyDescent="0.3">
      <c r="B46" s="5"/>
      <c r="C46" s="5"/>
      <c r="D46" s="5"/>
      <c r="E46" s="3" t="s">
        <v>42</v>
      </c>
      <c r="F46" s="5"/>
      <c r="G46" s="5"/>
      <c r="H46" s="5"/>
      <c r="I46" s="4"/>
      <c r="J46" s="4"/>
      <c r="L46" s="5"/>
      <c r="M46" s="5"/>
      <c r="N46" s="5"/>
      <c r="O46" s="5"/>
      <c r="P46" s="5"/>
      <c r="Q46" s="5"/>
      <c r="R46" s="5"/>
      <c r="S46" s="5"/>
    </row>
    <row r="47" spans="2:19" x14ac:dyDescent="0.3">
      <c r="D47" s="16"/>
      <c r="I47" s="6"/>
      <c r="J47" s="4"/>
    </row>
    <row r="48" spans="2:19" x14ac:dyDescent="0.3">
      <c r="D48" s="16"/>
      <c r="I48" s="6"/>
      <c r="J48" s="4"/>
    </row>
    <row r="49" spans="2:10" x14ac:dyDescent="0.3">
      <c r="C49" s="30" t="s">
        <v>59</v>
      </c>
      <c r="D49" s="31" t="s">
        <v>51</v>
      </c>
      <c r="E49" s="30" t="s">
        <v>52</v>
      </c>
      <c r="F49" s="32"/>
      <c r="G49" t="s">
        <v>11</v>
      </c>
      <c r="I49" s="6"/>
      <c r="J49" s="4"/>
    </row>
    <row r="50" spans="2:10" x14ac:dyDescent="0.3">
      <c r="C50" s="27" t="s">
        <v>53</v>
      </c>
      <c r="D50" s="28">
        <v>0</v>
      </c>
      <c r="E50" s="29">
        <f>D26</f>
        <v>648</v>
      </c>
      <c r="F50" s="27"/>
      <c r="I50" s="6"/>
      <c r="J50" s="4"/>
    </row>
    <row r="51" spans="2:10" x14ac:dyDescent="0.3">
      <c r="C51" s="9" t="s">
        <v>54</v>
      </c>
      <c r="D51" s="16">
        <v>0.5</v>
      </c>
      <c r="E51" s="13">
        <f>E27</f>
        <v>801.12959917877447</v>
      </c>
      <c r="I51" s="6"/>
      <c r="J51" s="4"/>
    </row>
    <row r="52" spans="2:10" x14ac:dyDescent="0.3">
      <c r="C52" s="9" t="s">
        <v>55</v>
      </c>
      <c r="D52" s="16">
        <v>1</v>
      </c>
      <c r="E52" s="13">
        <f>F29</f>
        <v>990.44542388941954</v>
      </c>
      <c r="I52" s="6"/>
      <c r="J52" s="4"/>
    </row>
    <row r="53" spans="2:10" x14ac:dyDescent="0.3">
      <c r="D53" s="16"/>
      <c r="I53" s="6"/>
      <c r="J53" s="4"/>
    </row>
    <row r="54" spans="2:10" x14ac:dyDescent="0.3">
      <c r="C54" s="9" t="s">
        <v>54</v>
      </c>
      <c r="D54" s="16">
        <v>0.5</v>
      </c>
      <c r="E54" s="13">
        <f>E51</f>
        <v>801.12959917877447</v>
      </c>
      <c r="I54" s="6"/>
      <c r="J54" s="4"/>
    </row>
    <row r="55" spans="2:10" x14ac:dyDescent="0.3">
      <c r="C55" s="9" t="s">
        <v>56</v>
      </c>
      <c r="D55" s="16">
        <v>1</v>
      </c>
      <c r="E55" s="13">
        <f>E50</f>
        <v>648</v>
      </c>
      <c r="I55" s="6"/>
      <c r="J55" s="4"/>
    </row>
    <row r="56" spans="2:10" x14ac:dyDescent="0.3">
      <c r="D56" s="16"/>
      <c r="I56" s="6"/>
      <c r="J56" s="4"/>
    </row>
    <row r="57" spans="2:10" x14ac:dyDescent="0.3">
      <c r="C57" s="9" t="s">
        <v>53</v>
      </c>
      <c r="D57" s="16">
        <v>0</v>
      </c>
      <c r="E57" s="13">
        <f>E50</f>
        <v>648</v>
      </c>
      <c r="I57" s="6"/>
      <c r="J57" s="4"/>
    </row>
    <row r="58" spans="2:10" x14ac:dyDescent="0.3">
      <c r="C58" s="9" t="s">
        <v>57</v>
      </c>
      <c r="D58" s="16">
        <v>0.5</v>
      </c>
      <c r="E58" s="13">
        <f>E28</f>
        <v>524.13991497809729</v>
      </c>
      <c r="I58" s="6"/>
      <c r="J58" s="4"/>
    </row>
    <row r="59" spans="2:10" x14ac:dyDescent="0.3">
      <c r="C59" s="9" t="s">
        <v>58</v>
      </c>
      <c r="D59" s="16">
        <v>1</v>
      </c>
      <c r="E59" s="13">
        <f>F31</f>
        <v>423.95470752044298</v>
      </c>
      <c r="I59" s="6"/>
      <c r="J59" s="4"/>
    </row>
    <row r="60" spans="2:10" x14ac:dyDescent="0.3">
      <c r="I60" s="6"/>
      <c r="J60" s="4"/>
    </row>
    <row r="61" spans="2:10" x14ac:dyDescent="0.3">
      <c r="I61" s="6"/>
      <c r="J61" s="4"/>
    </row>
    <row r="62" spans="2:10" x14ac:dyDescent="0.3">
      <c r="B62"/>
      <c r="C62"/>
      <c r="D62"/>
      <c r="E62"/>
      <c r="F62"/>
      <c r="G62"/>
      <c r="H62"/>
      <c r="I62" s="6"/>
      <c r="J62" s="4"/>
    </row>
    <row r="63" spans="2:10" ht="7.8" customHeight="1" x14ac:dyDescent="0.3">
      <c r="B63" s="7"/>
      <c r="C63" s="7"/>
      <c r="D63" s="7"/>
      <c r="E63" s="7"/>
      <c r="F63" s="7"/>
      <c r="G63" s="7"/>
      <c r="H63" s="7"/>
      <c r="I63" s="7"/>
      <c r="J63" s="8"/>
    </row>
    <row r="64" spans="2:10" x14ac:dyDescent="0.3">
      <c r="B64" s="1"/>
      <c r="C64" s="1"/>
      <c r="D64" s="1"/>
      <c r="E64" s="1"/>
      <c r="F64" s="1"/>
      <c r="G64" s="1"/>
      <c r="H64" s="1"/>
      <c r="I64" s="1"/>
      <c r="J64" s="1"/>
    </row>
    <row r="65" spans="2:10" x14ac:dyDescent="0.3">
      <c r="B65" s="1"/>
      <c r="C65" s="1"/>
      <c r="D65" s="1"/>
      <c r="E65" s="1"/>
      <c r="F65" s="1"/>
      <c r="G65" s="1"/>
      <c r="H65" s="1"/>
      <c r="I65" s="1"/>
      <c r="J65" s="1"/>
    </row>
    <row r="66" spans="2:10" x14ac:dyDescent="0.3">
      <c r="B66" s="1"/>
      <c r="C66" s="1"/>
      <c r="D66" s="1"/>
      <c r="E66" s="1"/>
      <c r="F66" s="1"/>
      <c r="G66" s="1"/>
      <c r="H66" s="1"/>
      <c r="I66" s="1"/>
      <c r="J66" s="1"/>
    </row>
    <row r="67" spans="2:10" x14ac:dyDescent="0.3">
      <c r="B67" s="1"/>
      <c r="C67" s="1"/>
      <c r="D67" s="1"/>
      <c r="E67" s="1"/>
      <c r="F67" s="1"/>
      <c r="G67" s="1"/>
      <c r="H67" s="1"/>
      <c r="I67" s="1"/>
      <c r="J67" s="1"/>
    </row>
    <row r="68" spans="2:10" x14ac:dyDescent="0.3">
      <c r="B68" s="1"/>
      <c r="C68" s="1"/>
      <c r="D68" s="1"/>
      <c r="E68" s="1"/>
      <c r="F68" s="1"/>
      <c r="G68" s="1"/>
      <c r="H68" s="1"/>
      <c r="I68" s="1"/>
      <c r="J68" s="1"/>
    </row>
    <row r="69" spans="2:10" x14ac:dyDescent="0.3">
      <c r="B69" s="1"/>
      <c r="C69" s="1"/>
      <c r="D69" s="1"/>
      <c r="E69" s="1"/>
      <c r="F69" s="1"/>
      <c r="G69" s="1"/>
      <c r="H69" s="1"/>
      <c r="I69" s="1"/>
      <c r="J69" s="1"/>
    </row>
    <row r="70" spans="2:10" x14ac:dyDescent="0.3">
      <c r="B70" s="1"/>
      <c r="C70" s="1"/>
      <c r="D70" s="1"/>
      <c r="E70" s="1"/>
      <c r="F70" s="1"/>
      <c r="G70" s="1"/>
      <c r="H70" s="1"/>
      <c r="I70" s="1"/>
      <c r="J70" s="1"/>
    </row>
    <row r="71" spans="2:10" x14ac:dyDescent="0.3">
      <c r="B71" s="1"/>
      <c r="C71" s="1"/>
      <c r="D71" s="1"/>
      <c r="E71" s="1"/>
      <c r="F71" s="1"/>
      <c r="G71" s="1"/>
      <c r="H71" s="1"/>
      <c r="I71" s="1"/>
      <c r="J71" s="1"/>
    </row>
    <row r="72" spans="2:10" x14ac:dyDescent="0.3">
      <c r="B72" s="1"/>
      <c r="C72" s="1"/>
      <c r="D72" s="1"/>
      <c r="E72" s="1"/>
      <c r="F72" s="1"/>
      <c r="G72" s="1"/>
      <c r="H72" s="1"/>
      <c r="I72" s="1"/>
      <c r="J72" s="1"/>
    </row>
    <row r="73" spans="2:10" x14ac:dyDescent="0.3">
      <c r="B73" s="1"/>
      <c r="C73" s="1"/>
      <c r="D73" s="1"/>
      <c r="E73" s="1"/>
      <c r="F73" s="1"/>
      <c r="G73" s="1"/>
      <c r="H73" s="1"/>
      <c r="I73" s="1"/>
      <c r="J73" s="1"/>
    </row>
    <row r="74" spans="2:10" x14ac:dyDescent="0.3">
      <c r="B74" s="1"/>
      <c r="C74" s="1"/>
      <c r="D74" s="1"/>
      <c r="E74" s="1"/>
      <c r="F74" s="1"/>
      <c r="G74" s="1"/>
      <c r="H74" s="1"/>
      <c r="I74" s="1"/>
      <c r="J74" s="1"/>
    </row>
    <row r="75" spans="2:10" x14ac:dyDescent="0.3">
      <c r="B75" s="1"/>
      <c r="C75" s="1"/>
      <c r="D75" s="1"/>
      <c r="E75" s="1"/>
      <c r="F75" s="1"/>
      <c r="G75" s="1"/>
      <c r="H75" s="1"/>
      <c r="I75" s="1"/>
      <c r="J75" s="1"/>
    </row>
    <row r="76" spans="2:10" x14ac:dyDescent="0.3">
      <c r="B76" s="1"/>
      <c r="C76" s="1"/>
      <c r="D76" s="1"/>
      <c r="E76" s="1"/>
      <c r="F76" s="1"/>
      <c r="G76" s="1"/>
      <c r="H76" s="1"/>
      <c r="I76" s="1"/>
      <c r="J76" s="1"/>
    </row>
    <row r="77" spans="2:10" x14ac:dyDescent="0.3">
      <c r="B77" s="1"/>
      <c r="C77" s="1"/>
      <c r="D77" s="1"/>
      <c r="E77" s="1"/>
      <c r="F77" s="1"/>
      <c r="G77" s="1"/>
      <c r="H77" s="1"/>
      <c r="I77" s="1"/>
      <c r="J77" s="1"/>
    </row>
    <row r="78" spans="2:10" x14ac:dyDescent="0.3">
      <c r="B78" s="1"/>
      <c r="C78" s="1"/>
      <c r="D78" s="1"/>
      <c r="E78" s="1"/>
      <c r="F78" s="1"/>
      <c r="G78" s="1"/>
      <c r="H78" s="1"/>
      <c r="I78" s="1"/>
      <c r="J78" s="1"/>
    </row>
    <row r="79" spans="2:10" x14ac:dyDescent="0.3">
      <c r="B79" s="1"/>
      <c r="C79" s="1"/>
      <c r="D79" s="1"/>
      <c r="E79" s="1"/>
      <c r="F79" s="1"/>
      <c r="G79" s="1"/>
      <c r="H79" s="1"/>
      <c r="I79" s="1"/>
      <c r="J79" s="1"/>
    </row>
    <row r="80" spans="2:10" x14ac:dyDescent="0.3">
      <c r="B80" s="1"/>
      <c r="C80" s="1"/>
      <c r="D80" s="1"/>
      <c r="E80" s="1"/>
      <c r="F80" s="1"/>
      <c r="G80" s="1"/>
      <c r="H80" s="1"/>
      <c r="I80" s="1"/>
      <c r="J80" s="1"/>
    </row>
    <row r="81" spans="2:10" x14ac:dyDescent="0.3">
      <c r="B81" s="1"/>
      <c r="C81" s="1"/>
      <c r="D81" s="1"/>
      <c r="E81" s="1"/>
      <c r="F81" s="1"/>
      <c r="G81" s="1"/>
      <c r="H81" s="1"/>
      <c r="I81" s="1"/>
      <c r="J81" s="1"/>
    </row>
    <row r="82" spans="2:10" x14ac:dyDescent="0.3">
      <c r="B82" s="1"/>
      <c r="C82" s="1"/>
      <c r="D82" s="1"/>
      <c r="E82" s="1"/>
      <c r="F82" s="1"/>
      <c r="G82" s="1"/>
      <c r="H82" s="1"/>
      <c r="I82" s="1"/>
      <c r="J82" s="1"/>
    </row>
    <row r="83" spans="2:10" x14ac:dyDescent="0.3">
      <c r="B83" s="1"/>
      <c r="C83" s="1"/>
      <c r="D83" s="1"/>
      <c r="E83" s="1"/>
      <c r="F83" s="1"/>
      <c r="G83" s="1"/>
      <c r="H83" s="1"/>
      <c r="I83" s="1"/>
      <c r="J83" s="1"/>
    </row>
    <row r="84" spans="2:10" x14ac:dyDescent="0.3">
      <c r="B84" s="1"/>
      <c r="C84" s="1"/>
      <c r="D84" s="1"/>
      <c r="E84" s="1"/>
      <c r="F84" s="1"/>
      <c r="G84" s="1"/>
      <c r="H84" s="1"/>
      <c r="I84" s="1"/>
      <c r="J84" s="1"/>
    </row>
    <row r="85" spans="2:10" x14ac:dyDescent="0.3">
      <c r="B85" s="1"/>
      <c r="C85" s="1"/>
      <c r="D85" s="1"/>
      <c r="E85" s="1"/>
      <c r="F85" s="1"/>
      <c r="G85" s="1"/>
      <c r="H85" s="1"/>
      <c r="I85" s="1"/>
      <c r="J85" s="1"/>
    </row>
    <row r="86" spans="2:10" x14ac:dyDescent="0.3">
      <c r="B86" s="1"/>
      <c r="C86" s="1"/>
      <c r="D86" s="1"/>
      <c r="E86" s="1"/>
      <c r="F86" s="1"/>
      <c r="G86" s="1"/>
      <c r="H86" s="1"/>
      <c r="I86" s="1"/>
      <c r="J86" s="1"/>
    </row>
    <row r="87" spans="2:10" x14ac:dyDescent="0.3">
      <c r="B87" s="1"/>
      <c r="C87" s="1"/>
      <c r="D87" s="1"/>
      <c r="E87" s="1"/>
      <c r="F87" s="1"/>
      <c r="G87" s="1"/>
      <c r="H87" s="1"/>
      <c r="I87" s="1"/>
      <c r="J87" s="1"/>
    </row>
    <row r="88" spans="2:10" x14ac:dyDescent="0.3">
      <c r="B88" s="1"/>
      <c r="C88" s="1"/>
      <c r="D88" s="1"/>
      <c r="E88" s="1"/>
      <c r="F88" s="1"/>
      <c r="G88" s="1"/>
      <c r="H88" s="1"/>
      <c r="I88" s="1"/>
      <c r="J88" s="1"/>
    </row>
    <row r="89" spans="2:10" x14ac:dyDescent="0.3">
      <c r="B89" s="1"/>
      <c r="C89" s="1"/>
      <c r="D89" s="1"/>
      <c r="E89" s="1"/>
      <c r="F89" s="1"/>
      <c r="G89" s="1"/>
      <c r="H89" s="1"/>
      <c r="I89" s="1"/>
      <c r="J89" s="1"/>
    </row>
    <row r="90" spans="2:10" x14ac:dyDescent="0.3">
      <c r="B90" s="1"/>
      <c r="C90" s="1"/>
      <c r="D90" s="1"/>
      <c r="E90" s="1"/>
      <c r="F90" s="1"/>
      <c r="G90" s="1"/>
      <c r="H90" s="1"/>
      <c r="I90" s="1"/>
      <c r="J90" s="1"/>
    </row>
    <row r="91" spans="2:10" x14ac:dyDescent="0.3">
      <c r="B91" s="1"/>
      <c r="C91" s="1"/>
      <c r="D91" s="1"/>
      <c r="E91" s="1"/>
      <c r="F91" s="1"/>
      <c r="G91" s="1"/>
      <c r="H91" s="1"/>
      <c r="I91" s="1"/>
      <c r="J91" s="1"/>
    </row>
    <row r="92" spans="2:10" x14ac:dyDescent="0.3">
      <c r="B92" s="1"/>
      <c r="C92" s="1"/>
      <c r="D92" s="1"/>
      <c r="E92" s="1"/>
      <c r="F92" s="1"/>
      <c r="G92" s="1"/>
      <c r="H92" s="1"/>
      <c r="I92" s="1"/>
      <c r="J92" s="1"/>
    </row>
    <row r="93" spans="2:10" x14ac:dyDescent="0.3">
      <c r="B93" s="1"/>
      <c r="C93" s="1"/>
      <c r="D93" s="1"/>
      <c r="E93" s="1"/>
      <c r="F93" s="1"/>
      <c r="G93" s="1"/>
      <c r="H93" s="1"/>
      <c r="I93" s="1"/>
      <c r="J93" s="1"/>
    </row>
    <row r="94" spans="2:10" x14ac:dyDescent="0.3">
      <c r="B94" s="1"/>
      <c r="C94" s="1"/>
      <c r="D94" s="1"/>
      <c r="E94" s="1"/>
      <c r="F94" s="1"/>
      <c r="G94" s="1"/>
      <c r="H94" s="1"/>
      <c r="I94" s="1"/>
      <c r="J94" s="1"/>
    </row>
    <row r="95" spans="2:10" x14ac:dyDescent="0.3">
      <c r="B95" s="1"/>
      <c r="C95" s="1"/>
      <c r="D95" s="1"/>
      <c r="E95" s="1"/>
      <c r="F95" s="1"/>
      <c r="G95" s="1"/>
      <c r="H95" s="1"/>
      <c r="I95" s="1"/>
      <c r="J95" s="1"/>
    </row>
    <row r="96" spans="2:10" x14ac:dyDescent="0.3">
      <c r="B96" s="1"/>
      <c r="C96" s="1"/>
      <c r="D96" s="1"/>
      <c r="E96" s="1"/>
      <c r="F96" s="1"/>
      <c r="G96" s="1"/>
      <c r="H96" s="1"/>
      <c r="I96" s="1"/>
      <c r="J96" s="1"/>
    </row>
    <row r="97" spans="2:10" x14ac:dyDescent="0.3">
      <c r="B97" s="1"/>
      <c r="C97" s="1"/>
      <c r="D97" s="1"/>
      <c r="E97" s="1"/>
      <c r="F97" s="1"/>
      <c r="G97" s="1"/>
      <c r="H97" s="1"/>
      <c r="I97" s="1"/>
      <c r="J97" s="1"/>
    </row>
    <row r="98" spans="2:10" x14ac:dyDescent="0.3">
      <c r="B98" s="1"/>
      <c r="C98" s="1"/>
      <c r="D98" s="1"/>
      <c r="E98" s="1"/>
      <c r="F98" s="1"/>
      <c r="G98" s="1"/>
      <c r="H98" s="1"/>
      <c r="I98" s="1"/>
      <c r="J98" s="1"/>
    </row>
    <row r="99" spans="2:10" x14ac:dyDescent="0.3">
      <c r="B99" s="1"/>
      <c r="C99" s="1"/>
      <c r="D99" s="1"/>
      <c r="E99" s="1"/>
      <c r="F99" s="1"/>
      <c r="G99" s="1"/>
      <c r="H99" s="1"/>
      <c r="I99" s="1"/>
      <c r="J99" s="1"/>
    </row>
    <row r="100" spans="2:10" x14ac:dyDescent="0.3">
      <c r="B100" s="1"/>
      <c r="C100" s="1"/>
      <c r="D100" s="1"/>
      <c r="E100" s="1"/>
      <c r="F100" s="1"/>
      <c r="G100" s="1"/>
      <c r="H100" s="1"/>
      <c r="I100" s="1"/>
      <c r="J100" s="1"/>
    </row>
    <row r="101" spans="2:10" x14ac:dyDescent="0.3">
      <c r="B101" s="1"/>
      <c r="C101" s="1"/>
      <c r="D101" s="1"/>
      <c r="E101" s="1"/>
      <c r="F101" s="1"/>
      <c r="G101" s="1"/>
      <c r="H101" s="1"/>
      <c r="I101" s="1"/>
      <c r="J101" s="1"/>
    </row>
    <row r="102" spans="2:10" x14ac:dyDescent="0.3">
      <c r="B102" s="1"/>
      <c r="C102" s="1"/>
      <c r="D102" s="1"/>
      <c r="E102" s="1"/>
      <c r="F102" s="1"/>
      <c r="G102" s="1"/>
      <c r="H102" s="1"/>
      <c r="I102" s="1"/>
      <c r="J102" s="1"/>
    </row>
    <row r="103" spans="2:10" x14ac:dyDescent="0.3">
      <c r="B103" s="1"/>
      <c r="C103" s="1"/>
      <c r="D103" s="1"/>
      <c r="E103" s="1"/>
      <c r="F103" s="1"/>
      <c r="G103" s="1"/>
      <c r="H103" s="1"/>
      <c r="I103" s="1"/>
      <c r="J103" s="1"/>
    </row>
    <row r="104" spans="2:10" x14ac:dyDescent="0.3">
      <c r="B104" s="1"/>
      <c r="C104" s="1"/>
      <c r="D104" s="1"/>
      <c r="E104" s="1"/>
      <c r="F104" s="1"/>
      <c r="G104" s="1"/>
      <c r="H104" s="1"/>
      <c r="I104" s="1"/>
      <c r="J104" s="1"/>
    </row>
    <row r="105" spans="2:10" x14ac:dyDescent="0.3">
      <c r="B105" s="1"/>
      <c r="C105" s="1"/>
      <c r="D105" s="1"/>
      <c r="E105" s="1"/>
      <c r="F105" s="1"/>
      <c r="G105" s="1"/>
      <c r="H105" s="1"/>
      <c r="I105" s="1"/>
      <c r="J105" s="1"/>
    </row>
    <row r="106" spans="2:10" x14ac:dyDescent="0.3">
      <c r="B106" s="1"/>
      <c r="C106" s="1"/>
      <c r="D106" s="1"/>
      <c r="E106" s="1"/>
      <c r="F106" s="1"/>
      <c r="G106" s="1"/>
      <c r="H106" s="1"/>
      <c r="I106" s="1"/>
      <c r="J106" s="1"/>
    </row>
    <row r="107" spans="2:10" x14ac:dyDescent="0.3">
      <c r="B107" s="1"/>
      <c r="C107" s="1"/>
      <c r="D107" s="1"/>
      <c r="E107" s="1"/>
      <c r="F107" s="1"/>
      <c r="G107" s="1"/>
      <c r="H107" s="1"/>
      <c r="I107" s="1"/>
      <c r="J107" s="1"/>
    </row>
    <row r="108" spans="2:10" x14ac:dyDescent="0.3">
      <c r="B108" s="1"/>
      <c r="C108" s="1"/>
      <c r="D108" s="1"/>
      <c r="E108" s="1"/>
      <c r="F108" s="1"/>
      <c r="G108" s="1"/>
      <c r="H108" s="1"/>
      <c r="I108" s="1"/>
      <c r="J108" s="1"/>
    </row>
    <row r="109" spans="2:10" x14ac:dyDescent="0.3">
      <c r="B109" s="1"/>
      <c r="C109" s="1"/>
      <c r="D109" s="1"/>
      <c r="E109" s="1"/>
      <c r="F109" s="1"/>
      <c r="G109" s="1"/>
      <c r="H109" s="1"/>
      <c r="I109" s="1"/>
      <c r="J109" s="1"/>
    </row>
    <row r="110" spans="2:10" x14ac:dyDescent="0.3">
      <c r="B110" s="1"/>
      <c r="C110" s="1"/>
      <c r="D110" s="1"/>
      <c r="E110" s="1"/>
      <c r="F110" s="1"/>
      <c r="G110" s="1"/>
      <c r="H110" s="1"/>
      <c r="I110" s="1"/>
      <c r="J110" s="1"/>
    </row>
    <row r="111" spans="2:10" x14ac:dyDescent="0.3">
      <c r="B111" s="1"/>
      <c r="C111" s="1"/>
      <c r="D111" s="1"/>
      <c r="E111" s="1"/>
      <c r="F111" s="1"/>
      <c r="G111" s="1"/>
      <c r="H111" s="1"/>
      <c r="I111" s="1"/>
      <c r="J111" s="1"/>
    </row>
    <row r="112" spans="2:10" x14ac:dyDescent="0.3">
      <c r="B112" s="1"/>
      <c r="C112" s="1"/>
      <c r="D112" s="1"/>
      <c r="E112" s="1"/>
      <c r="F112" s="1"/>
      <c r="G112" s="1"/>
      <c r="H112" s="1"/>
      <c r="I112" s="1"/>
      <c r="J112" s="1"/>
    </row>
    <row r="113" spans="2:10" x14ac:dyDescent="0.3">
      <c r="B113" s="1"/>
      <c r="C113" s="1"/>
      <c r="D113" s="1"/>
      <c r="E113" s="1"/>
      <c r="F113" s="1"/>
      <c r="G113" s="1"/>
      <c r="H113" s="1"/>
      <c r="I113" s="1"/>
      <c r="J113" s="1"/>
    </row>
    <row r="114" spans="2:10" x14ac:dyDescent="0.3">
      <c r="B114" s="1"/>
      <c r="C114" s="1"/>
      <c r="D114" s="1"/>
      <c r="E114" s="1"/>
      <c r="F114" s="1"/>
      <c r="G114" s="1"/>
      <c r="H114" s="1"/>
      <c r="I114" s="1"/>
      <c r="J114" s="1"/>
    </row>
    <row r="115" spans="2:10" x14ac:dyDescent="0.3">
      <c r="B115" s="1"/>
      <c r="C115" s="1"/>
      <c r="D115" s="1"/>
      <c r="E115" s="1"/>
      <c r="F115" s="1"/>
      <c r="G115" s="1"/>
      <c r="H115" s="1"/>
      <c r="I115" s="1"/>
      <c r="J115" s="1"/>
    </row>
    <row r="116" spans="2:10" x14ac:dyDescent="0.3">
      <c r="B116" s="1"/>
      <c r="C116" s="1"/>
      <c r="D116" s="1"/>
      <c r="E116" s="1"/>
      <c r="F116" s="1"/>
      <c r="G116" s="1"/>
      <c r="H116" s="1"/>
      <c r="I116" s="1"/>
      <c r="J116" s="1"/>
    </row>
    <row r="117" spans="2:10" x14ac:dyDescent="0.3">
      <c r="B117" s="1"/>
      <c r="C117" s="1"/>
      <c r="D117" s="1"/>
      <c r="E117" s="1"/>
      <c r="F117" s="1"/>
      <c r="G117" s="1"/>
      <c r="H117" s="1"/>
      <c r="I117" s="1"/>
      <c r="J117" s="1"/>
    </row>
    <row r="118" spans="2:10" x14ac:dyDescent="0.3">
      <c r="B118" s="1"/>
      <c r="C118" s="1"/>
      <c r="D118" s="1"/>
      <c r="E118" s="1"/>
      <c r="F118" s="1"/>
      <c r="G118" s="1"/>
      <c r="H118" s="1"/>
      <c r="I118" s="1"/>
      <c r="J118" s="1"/>
    </row>
    <row r="119" spans="2:10" x14ac:dyDescent="0.3">
      <c r="B119" s="1"/>
      <c r="C119" s="1"/>
      <c r="D119" s="1"/>
      <c r="E119" s="1"/>
      <c r="F119" s="1"/>
      <c r="G119" s="1"/>
      <c r="H119" s="1"/>
      <c r="I119" s="1"/>
      <c r="J119" s="1"/>
    </row>
    <row r="120" spans="2:10" x14ac:dyDescent="0.3">
      <c r="B120" s="1"/>
      <c r="C120" s="1"/>
      <c r="D120" s="1"/>
      <c r="E120" s="1"/>
      <c r="F120" s="1"/>
      <c r="G120" s="1"/>
      <c r="H120" s="1"/>
      <c r="I120" s="1"/>
      <c r="J120" s="1"/>
    </row>
    <row r="121" spans="2:10" x14ac:dyDescent="0.3">
      <c r="B121" s="1"/>
      <c r="C121" s="1"/>
      <c r="D121" s="1"/>
      <c r="E121" s="1"/>
      <c r="F121" s="1"/>
      <c r="G121" s="1"/>
      <c r="H121" s="1"/>
      <c r="I121" s="1"/>
      <c r="J121" s="1"/>
    </row>
    <row r="122" spans="2:10" x14ac:dyDescent="0.3">
      <c r="B122" s="1"/>
      <c r="C122" s="1"/>
      <c r="D122" s="1"/>
      <c r="E122" s="1"/>
      <c r="F122" s="1"/>
      <c r="G122" s="1"/>
      <c r="H122" s="1"/>
      <c r="I122" s="1"/>
      <c r="J122" s="1"/>
    </row>
    <row r="123" spans="2:10" x14ac:dyDescent="0.3">
      <c r="B123" s="1"/>
      <c r="C123" s="1"/>
      <c r="D123" s="1"/>
      <c r="E123" s="1"/>
      <c r="F123" s="1"/>
      <c r="G123" s="1"/>
      <c r="H123" s="1"/>
      <c r="I123" s="1"/>
      <c r="J123" s="1"/>
    </row>
    <row r="124" spans="2:10" x14ac:dyDescent="0.3">
      <c r="B124" s="1"/>
      <c r="C124" s="1"/>
      <c r="D124" s="1"/>
      <c r="E124" s="1"/>
      <c r="F124" s="1"/>
      <c r="G124" s="1"/>
      <c r="H124" s="1"/>
      <c r="I124" s="1"/>
      <c r="J124" s="1"/>
    </row>
    <row r="125" spans="2:10" x14ac:dyDescent="0.3">
      <c r="B125" s="1"/>
      <c r="C125" s="1"/>
      <c r="D125" s="1"/>
      <c r="E125" s="1"/>
      <c r="F125" s="1"/>
      <c r="G125" s="1"/>
      <c r="H125" s="1"/>
      <c r="I125" s="1"/>
      <c r="J125" s="1"/>
    </row>
    <row r="126" spans="2:10" x14ac:dyDescent="0.3">
      <c r="B126" s="1"/>
      <c r="C126" s="1"/>
      <c r="D126" s="1"/>
      <c r="E126" s="1"/>
      <c r="F126" s="1"/>
      <c r="G126" s="1"/>
      <c r="H126" s="1"/>
      <c r="I126" s="1"/>
      <c r="J126" s="1"/>
    </row>
    <row r="127" spans="2:10" x14ac:dyDescent="0.3">
      <c r="B127" s="1"/>
      <c r="C127" s="1"/>
      <c r="D127" s="1"/>
      <c r="E127" s="1"/>
      <c r="F127" s="1"/>
      <c r="G127" s="1"/>
      <c r="H127" s="1"/>
      <c r="I127" s="1"/>
      <c r="J127" s="1"/>
    </row>
    <row r="128" spans="2:10" x14ac:dyDescent="0.3">
      <c r="B128" s="1"/>
      <c r="C128" s="1"/>
      <c r="D128" s="1"/>
      <c r="E128" s="1"/>
      <c r="F128" s="1"/>
      <c r="G128" s="1"/>
      <c r="H128" s="1"/>
      <c r="I128" s="1"/>
      <c r="J128" s="1"/>
    </row>
    <row r="129" spans="2:10" x14ac:dyDescent="0.3">
      <c r="B129" s="1"/>
      <c r="C129" s="1"/>
      <c r="D129" s="1"/>
      <c r="E129" s="1"/>
      <c r="F129" s="1"/>
      <c r="G129" s="1"/>
      <c r="H129" s="1"/>
      <c r="I129" s="1"/>
      <c r="J129" s="1"/>
    </row>
    <row r="130" spans="2:10" x14ac:dyDescent="0.3">
      <c r="B130" s="1"/>
      <c r="C130" s="1"/>
      <c r="D130" s="1"/>
      <c r="E130" s="1"/>
      <c r="F130" s="1"/>
      <c r="G130" s="1"/>
      <c r="H130" s="1"/>
      <c r="I130" s="1"/>
      <c r="J130" s="1"/>
    </row>
    <row r="131" spans="2:10" x14ac:dyDescent="0.3">
      <c r="B131" s="1"/>
      <c r="C131" s="1"/>
      <c r="D131" s="1"/>
      <c r="E131" s="1"/>
      <c r="F131" s="1"/>
      <c r="G131" s="1"/>
      <c r="H131" s="1"/>
      <c r="I131" s="1"/>
      <c r="J131" s="1"/>
    </row>
    <row r="132" spans="2:10" x14ac:dyDescent="0.3">
      <c r="B132" s="1"/>
      <c r="C132" s="1"/>
      <c r="D132" s="1"/>
      <c r="E132" s="1"/>
      <c r="F132" s="1"/>
      <c r="G132" s="1"/>
      <c r="H132" s="1"/>
      <c r="I132" s="1"/>
      <c r="J132" s="1"/>
    </row>
    <row r="133" spans="2:10" x14ac:dyDescent="0.3">
      <c r="B133" s="1"/>
      <c r="C133" s="1"/>
      <c r="D133" s="1"/>
      <c r="E133" s="1"/>
      <c r="F133" s="1"/>
      <c r="G133" s="1"/>
      <c r="H133" s="1"/>
      <c r="I133" s="1"/>
      <c r="J133" s="1"/>
    </row>
    <row r="134" spans="2:10" x14ac:dyDescent="0.3">
      <c r="B134" s="1"/>
      <c r="C134" s="1"/>
      <c r="D134" s="1"/>
      <c r="E134" s="1"/>
      <c r="F134" s="1"/>
      <c r="G134" s="1"/>
      <c r="H134" s="1"/>
      <c r="I134" s="1"/>
      <c r="J134" s="1"/>
    </row>
    <row r="135" spans="2:10" x14ac:dyDescent="0.3">
      <c r="B135" s="1"/>
      <c r="C135" s="1"/>
      <c r="D135" s="1"/>
      <c r="E135" s="1"/>
      <c r="F135" s="1"/>
      <c r="G135" s="1"/>
      <c r="H135" s="1"/>
      <c r="I135" s="1"/>
      <c r="J135" s="1"/>
    </row>
    <row r="136" spans="2:10" x14ac:dyDescent="0.3">
      <c r="B136" s="1"/>
      <c r="C136" s="1"/>
      <c r="D136" s="1"/>
      <c r="E136" s="1"/>
      <c r="F136" s="1"/>
      <c r="G136" s="1"/>
      <c r="H136" s="1"/>
      <c r="I136" s="1"/>
      <c r="J136" s="1"/>
    </row>
    <row r="137" spans="2:10" x14ac:dyDescent="0.3">
      <c r="B137" s="1"/>
      <c r="C137" s="1"/>
      <c r="D137" s="1"/>
      <c r="E137" s="1"/>
      <c r="F137" s="1"/>
      <c r="G137" s="1"/>
      <c r="H137" s="1"/>
      <c r="I137" s="1"/>
      <c r="J137" s="1"/>
    </row>
    <row r="138" spans="2:10" x14ac:dyDescent="0.3">
      <c r="B138" s="1"/>
      <c r="C138" s="1"/>
      <c r="D138" s="1"/>
      <c r="E138" s="1"/>
      <c r="F138" s="1"/>
      <c r="G138" s="1"/>
      <c r="H138" s="1"/>
      <c r="I138" s="1"/>
      <c r="J138" s="1"/>
    </row>
    <row r="139" spans="2:10" x14ac:dyDescent="0.3">
      <c r="B139" s="1"/>
      <c r="C139" s="1"/>
      <c r="D139" s="1"/>
      <c r="E139" s="1"/>
      <c r="F139" s="1"/>
      <c r="G139" s="1"/>
      <c r="H139" s="1"/>
      <c r="I139" s="1"/>
      <c r="J139" s="1"/>
    </row>
    <row r="140" spans="2:10" x14ac:dyDescent="0.3">
      <c r="B140" s="1"/>
      <c r="C140" s="1"/>
      <c r="D140" s="1"/>
      <c r="E140" s="1"/>
      <c r="F140" s="1"/>
      <c r="G140" s="1"/>
      <c r="H140" s="1"/>
      <c r="I140" s="1"/>
      <c r="J140" s="1"/>
    </row>
    <row r="141" spans="2:10" x14ac:dyDescent="0.3">
      <c r="B141" s="1"/>
      <c r="C141" s="1"/>
      <c r="D141" s="1"/>
      <c r="E141" s="1"/>
      <c r="F141" s="1"/>
      <c r="G141" s="1"/>
      <c r="H141" s="1"/>
      <c r="I141" s="1"/>
      <c r="J141" s="1"/>
    </row>
    <row r="142" spans="2:10" x14ac:dyDescent="0.3">
      <c r="B142" s="1"/>
      <c r="C142" s="1"/>
      <c r="D142" s="1"/>
      <c r="E142" s="1"/>
      <c r="F142" s="1"/>
      <c r="G142" s="1"/>
      <c r="H142" s="1"/>
      <c r="I142" s="1"/>
      <c r="J142" s="1"/>
    </row>
    <row r="143" spans="2:10" x14ac:dyDescent="0.3">
      <c r="B143" s="1"/>
      <c r="C143" s="1"/>
      <c r="D143" s="1"/>
      <c r="E143" s="1"/>
      <c r="F143" s="1"/>
      <c r="G143" s="1"/>
      <c r="H143" s="1"/>
      <c r="I143" s="1"/>
      <c r="J143" s="1"/>
    </row>
    <row r="144" spans="2:10" x14ac:dyDescent="0.3">
      <c r="B144" s="1"/>
      <c r="C144" s="1"/>
      <c r="D144" s="1"/>
      <c r="E144" s="1"/>
      <c r="F144" s="1"/>
      <c r="G144" s="1"/>
      <c r="H144" s="1"/>
      <c r="I144" s="1"/>
      <c r="J144" s="1"/>
    </row>
    <row r="145" spans="2:10" x14ac:dyDescent="0.3">
      <c r="B145" s="1"/>
      <c r="C145" s="1"/>
      <c r="D145" s="1"/>
      <c r="E145" s="1"/>
      <c r="F145" s="1"/>
      <c r="G145" s="1"/>
      <c r="H145" s="1"/>
      <c r="I145" s="1"/>
      <c r="J145" s="1"/>
    </row>
    <row r="146" spans="2:10" x14ac:dyDescent="0.3">
      <c r="B146" s="1"/>
      <c r="C146" s="1"/>
      <c r="D146" s="1"/>
      <c r="E146" s="1"/>
      <c r="F146" s="1"/>
      <c r="G146" s="1"/>
      <c r="H146" s="1"/>
      <c r="I146" s="1"/>
      <c r="J146" s="1"/>
    </row>
    <row r="147" spans="2:10" x14ac:dyDescent="0.3">
      <c r="B147" s="1"/>
      <c r="C147" s="1"/>
      <c r="D147" s="1"/>
      <c r="E147" s="1"/>
      <c r="F147" s="1"/>
      <c r="G147" s="1"/>
      <c r="H147" s="1"/>
      <c r="I147" s="1"/>
      <c r="J147" s="1"/>
    </row>
    <row r="148" spans="2:10" x14ac:dyDescent="0.3">
      <c r="B148" s="1"/>
      <c r="C148" s="1"/>
      <c r="D148" s="1"/>
      <c r="E148" s="1"/>
      <c r="F148" s="1"/>
      <c r="G148" s="1"/>
      <c r="H148" s="1"/>
      <c r="I148" s="1"/>
      <c r="J148" s="1"/>
    </row>
    <row r="149" spans="2:10" x14ac:dyDescent="0.3">
      <c r="B149" s="1"/>
      <c r="C149" s="1"/>
      <c r="D149" s="1"/>
      <c r="E149" s="1"/>
      <c r="F149" s="1"/>
      <c r="G149" s="1"/>
      <c r="H149" s="1"/>
      <c r="I149" s="1"/>
      <c r="J149" s="1"/>
    </row>
    <row r="150" spans="2:10" x14ac:dyDescent="0.3">
      <c r="B150" s="1"/>
      <c r="C150" s="1"/>
      <c r="D150" s="1"/>
      <c r="E150" s="1"/>
      <c r="F150" s="1"/>
      <c r="G150" s="1"/>
      <c r="H150" s="1"/>
      <c r="I150" s="1"/>
      <c r="J150" s="1"/>
    </row>
    <row r="151" spans="2:10" x14ac:dyDescent="0.3">
      <c r="B151" s="1"/>
      <c r="C151" s="1"/>
      <c r="D151" s="1"/>
      <c r="E151" s="1"/>
      <c r="F151" s="1"/>
      <c r="G151" s="1"/>
      <c r="H151" s="1"/>
      <c r="I151" s="1"/>
      <c r="J151" s="1"/>
    </row>
    <row r="152" spans="2:10" x14ac:dyDescent="0.3">
      <c r="B152" s="1"/>
      <c r="C152" s="1"/>
      <c r="D152" s="1"/>
      <c r="E152" s="1"/>
      <c r="F152" s="1"/>
      <c r="G152" s="1"/>
      <c r="H152" s="1"/>
      <c r="I152" s="1"/>
      <c r="J152" s="1"/>
    </row>
    <row r="153" spans="2:10" x14ac:dyDescent="0.3">
      <c r="B153" s="1"/>
      <c r="C153" s="1"/>
      <c r="D153" s="1"/>
      <c r="E153" s="1"/>
      <c r="F153" s="1"/>
      <c r="G153" s="1"/>
      <c r="H153" s="1"/>
      <c r="I153" s="1"/>
      <c r="J153" s="1"/>
    </row>
    <row r="154" spans="2:10" x14ac:dyDescent="0.3">
      <c r="B154" s="1"/>
      <c r="C154" s="1"/>
      <c r="D154" s="1"/>
      <c r="E154" s="1"/>
      <c r="F154" s="1"/>
      <c r="G154" s="1"/>
      <c r="H154" s="1"/>
      <c r="I154" s="1"/>
      <c r="J154" s="1"/>
    </row>
    <row r="155" spans="2:10" x14ac:dyDescent="0.3">
      <c r="B155" s="1"/>
      <c r="C155" s="1"/>
      <c r="D155" s="1"/>
      <c r="E155" s="1"/>
      <c r="F155" s="1"/>
      <c r="G155" s="1"/>
      <c r="H155" s="1"/>
      <c r="I155" s="1"/>
      <c r="J155" s="1"/>
    </row>
    <row r="156" spans="2:10" x14ac:dyDescent="0.3">
      <c r="B156" s="1"/>
      <c r="C156" s="1"/>
      <c r="D156" s="1"/>
      <c r="E156" s="1"/>
      <c r="F156" s="1"/>
      <c r="G156" s="1"/>
      <c r="H156" s="1"/>
      <c r="I156" s="1"/>
      <c r="J156" s="1"/>
    </row>
    <row r="157" spans="2:10" x14ac:dyDescent="0.3">
      <c r="B157" s="1"/>
      <c r="C157" s="1"/>
      <c r="D157" s="1"/>
      <c r="E157" s="1"/>
      <c r="F157" s="1"/>
      <c r="G157" s="1"/>
      <c r="H157" s="1"/>
      <c r="I157" s="1"/>
      <c r="J157" s="1"/>
    </row>
    <row r="158" spans="2:10" x14ac:dyDescent="0.3">
      <c r="B158" s="1"/>
      <c r="C158" s="1"/>
      <c r="D158" s="1"/>
      <c r="E158" s="1"/>
      <c r="F158" s="1"/>
      <c r="G158" s="1"/>
      <c r="H158" s="1"/>
      <c r="I158" s="1"/>
      <c r="J158" s="1"/>
    </row>
    <row r="159" spans="2:10" x14ac:dyDescent="0.3">
      <c r="B159" s="1"/>
      <c r="C159" s="1"/>
      <c r="D159" s="1"/>
      <c r="E159" s="1"/>
      <c r="F159" s="1"/>
      <c r="G159" s="1"/>
      <c r="H159" s="1"/>
      <c r="I159" s="1"/>
      <c r="J159" s="1"/>
    </row>
    <row r="160" spans="2:10" x14ac:dyDescent="0.3">
      <c r="B160" s="1"/>
      <c r="C160" s="1"/>
      <c r="D160" s="1"/>
      <c r="E160" s="1"/>
      <c r="F160" s="1"/>
      <c r="G160" s="1"/>
      <c r="H160" s="1"/>
      <c r="I160" s="1"/>
      <c r="J160" s="1"/>
    </row>
    <row r="161" spans="2:10" x14ac:dyDescent="0.3">
      <c r="B161" s="1"/>
      <c r="C161" s="1"/>
      <c r="D161" s="1"/>
      <c r="E161" s="1"/>
      <c r="F161" s="1"/>
      <c r="G161" s="1"/>
      <c r="H161" s="1"/>
      <c r="I161" s="1"/>
      <c r="J161" s="1"/>
    </row>
    <row r="162" spans="2:10" x14ac:dyDescent="0.3">
      <c r="B162" s="1"/>
      <c r="C162" s="1"/>
      <c r="D162" s="1"/>
      <c r="E162" s="1"/>
      <c r="F162" s="1"/>
      <c r="G162" s="1"/>
      <c r="H162" s="1"/>
      <c r="I162" s="1"/>
      <c r="J162" s="1"/>
    </row>
    <row r="163" spans="2:10" x14ac:dyDescent="0.3">
      <c r="B163" s="1"/>
      <c r="C163" s="1"/>
      <c r="D163" s="1"/>
      <c r="E163" s="1"/>
      <c r="F163" s="1"/>
      <c r="G163" s="1"/>
      <c r="H163" s="1"/>
      <c r="I163" s="1"/>
      <c r="J163" s="1"/>
    </row>
    <row r="164" spans="2:10" x14ac:dyDescent="0.3">
      <c r="B164" s="1"/>
      <c r="C164" s="1"/>
      <c r="D164" s="1"/>
      <c r="E164" s="1"/>
      <c r="F164" s="1"/>
      <c r="G164" s="1"/>
      <c r="H164" s="1"/>
      <c r="I164" s="1"/>
      <c r="J164" s="1"/>
    </row>
    <row r="165" spans="2:10" x14ac:dyDescent="0.3">
      <c r="B165" s="1"/>
      <c r="C165" s="1"/>
      <c r="D165" s="1"/>
      <c r="E165" s="1"/>
      <c r="F165" s="1"/>
      <c r="G165" s="1"/>
      <c r="H165" s="1"/>
      <c r="I165" s="1"/>
      <c r="J165" s="1"/>
    </row>
    <row r="166" spans="2:10" x14ac:dyDescent="0.3">
      <c r="B166" s="1"/>
      <c r="C166" s="1"/>
      <c r="D166" s="1"/>
      <c r="E166" s="1"/>
      <c r="F166" s="1"/>
      <c r="G166" s="1"/>
      <c r="H166" s="1"/>
      <c r="I166" s="1"/>
      <c r="J166" s="1"/>
    </row>
    <row r="167" spans="2:10" x14ac:dyDescent="0.3">
      <c r="B167" s="1"/>
      <c r="C167" s="1"/>
      <c r="D167" s="1"/>
      <c r="E167" s="1"/>
      <c r="F167" s="1"/>
      <c r="G167" s="1"/>
      <c r="H167" s="1"/>
      <c r="I167" s="1"/>
      <c r="J167" s="1"/>
    </row>
    <row r="168" spans="2:10" x14ac:dyDescent="0.3">
      <c r="B168" s="1"/>
      <c r="C168" s="1"/>
      <c r="D168" s="1"/>
      <c r="E168" s="1"/>
      <c r="F168" s="1"/>
      <c r="G168" s="1"/>
      <c r="H168" s="1"/>
      <c r="I168" s="1"/>
      <c r="J168" s="1"/>
    </row>
    <row r="169" spans="2:10" x14ac:dyDescent="0.3">
      <c r="B169" s="1"/>
      <c r="C169" s="1"/>
      <c r="D169" s="1"/>
      <c r="E169" s="1"/>
      <c r="F169" s="1"/>
      <c r="G169" s="1"/>
      <c r="H169" s="1"/>
      <c r="I169" s="1"/>
      <c r="J169" s="1"/>
    </row>
    <row r="170" spans="2:10" x14ac:dyDescent="0.3">
      <c r="B170" s="1"/>
      <c r="C170" s="1"/>
      <c r="D170" s="1"/>
      <c r="E170" s="1"/>
      <c r="F170" s="1"/>
      <c r="G170" s="1"/>
      <c r="H170" s="1"/>
      <c r="I170" s="1"/>
      <c r="J170" s="1"/>
    </row>
    <row r="171" spans="2:10" x14ac:dyDescent="0.3">
      <c r="B171" s="1"/>
      <c r="C171" s="1"/>
      <c r="D171" s="1"/>
      <c r="E171" s="1"/>
      <c r="F171" s="1"/>
      <c r="G171" s="1"/>
      <c r="H171" s="1"/>
      <c r="I171" s="1"/>
      <c r="J171" s="1"/>
    </row>
    <row r="172" spans="2:10" x14ac:dyDescent="0.3">
      <c r="B172" s="1"/>
      <c r="C172" s="1"/>
      <c r="D172" s="1"/>
      <c r="E172" s="1"/>
      <c r="F172" s="1"/>
      <c r="G172" s="1"/>
      <c r="H172" s="1"/>
      <c r="I172" s="1"/>
      <c r="J172" s="1"/>
    </row>
    <row r="173" spans="2:10" x14ac:dyDescent="0.3">
      <c r="I173" s="1"/>
      <c r="J173" s="1"/>
    </row>
    <row r="174" spans="2:10" x14ac:dyDescent="0.3">
      <c r="I174" s="1"/>
      <c r="J174" s="1"/>
    </row>
    <row r="175" spans="2:10" x14ac:dyDescent="0.3">
      <c r="I175" s="1"/>
      <c r="J175" s="1"/>
    </row>
    <row r="176" spans="2:10" x14ac:dyDescent="0.3">
      <c r="I176" s="1"/>
      <c r="J176" s="1"/>
    </row>
    <row r="177" spans="9:10" x14ac:dyDescent="0.3">
      <c r="I177" s="1"/>
      <c r="J177" s="1"/>
    </row>
    <row r="178" spans="9:10" x14ac:dyDescent="0.3">
      <c r="I178" s="1"/>
      <c r="J178" s="1"/>
    </row>
    <row r="179" spans="9:10" x14ac:dyDescent="0.3">
      <c r="I179" s="1"/>
      <c r="J179" s="1"/>
    </row>
    <row r="180" spans="9:10" x14ac:dyDescent="0.3">
      <c r="I180" s="1"/>
      <c r="J180" s="1"/>
    </row>
    <row r="181" spans="9:10" x14ac:dyDescent="0.3">
      <c r="I181" s="1"/>
      <c r="J181" s="1"/>
    </row>
    <row r="182" spans="9:10" x14ac:dyDescent="0.3">
      <c r="I182" s="1"/>
      <c r="J182" s="1"/>
    </row>
    <row r="183" spans="9:10" x14ac:dyDescent="0.3">
      <c r="I183" s="1"/>
      <c r="J183" s="1"/>
    </row>
    <row r="184" spans="9:10" x14ac:dyDescent="0.3">
      <c r="I184" s="1"/>
      <c r="J184" s="1"/>
    </row>
    <row r="185" spans="9:10" x14ac:dyDescent="0.3">
      <c r="I185" s="1"/>
      <c r="J185" s="1"/>
    </row>
    <row r="186" spans="9:10" x14ac:dyDescent="0.3">
      <c r="I186" s="1"/>
      <c r="J186" s="1"/>
    </row>
    <row r="187" spans="9:10" x14ac:dyDescent="0.3">
      <c r="I187" s="1"/>
      <c r="J187" s="1"/>
    </row>
    <row r="188" spans="9:10" x14ac:dyDescent="0.3">
      <c r="I188" s="1"/>
      <c r="J188" s="1"/>
    </row>
    <row r="189" spans="9:10" x14ac:dyDescent="0.3">
      <c r="I189" s="1"/>
      <c r="J189" s="1"/>
    </row>
    <row r="190" spans="9:10" x14ac:dyDescent="0.3">
      <c r="I190" s="1"/>
      <c r="J190" s="1"/>
    </row>
    <row r="191" spans="9:10" x14ac:dyDescent="0.3">
      <c r="I191" s="1"/>
      <c r="J191" s="1"/>
    </row>
    <row r="192" spans="9:10" x14ac:dyDescent="0.3">
      <c r="I192" s="1"/>
      <c r="J192" s="1"/>
    </row>
    <row r="193" spans="9:10" x14ac:dyDescent="0.3">
      <c r="I193" s="1"/>
      <c r="J193" s="1"/>
    </row>
    <row r="194" spans="9:10" x14ac:dyDescent="0.3">
      <c r="I194" s="1"/>
      <c r="J194" s="1"/>
    </row>
    <row r="195" spans="9:10" x14ac:dyDescent="0.3">
      <c r="I195" s="1"/>
      <c r="J195" s="1"/>
    </row>
    <row r="196" spans="9:10" x14ac:dyDescent="0.3">
      <c r="I196" s="1"/>
      <c r="J196" s="1"/>
    </row>
    <row r="197" spans="9:10" x14ac:dyDescent="0.3">
      <c r="I197" s="1"/>
      <c r="J197" s="1"/>
    </row>
    <row r="198" spans="9:10" x14ac:dyDescent="0.3">
      <c r="I198" s="1"/>
      <c r="J198" s="1"/>
    </row>
    <row r="199" spans="9:10" x14ac:dyDescent="0.3">
      <c r="I199" s="1"/>
      <c r="J199" s="1"/>
    </row>
    <row r="200" spans="9:10" x14ac:dyDescent="0.3">
      <c r="I200" s="1"/>
      <c r="J200" s="1"/>
    </row>
    <row r="201" spans="9:10" x14ac:dyDescent="0.3">
      <c r="I201" s="1"/>
      <c r="J201" s="1"/>
    </row>
    <row r="202" spans="9:10" x14ac:dyDescent="0.3">
      <c r="I202" s="1"/>
      <c r="J202" s="1"/>
    </row>
    <row r="203" spans="9:10" x14ac:dyDescent="0.3">
      <c r="I203" s="1"/>
      <c r="J203" s="1"/>
    </row>
    <row r="204" spans="9:10" x14ac:dyDescent="0.3">
      <c r="I204" s="1"/>
      <c r="J204" s="1"/>
    </row>
    <row r="205" spans="9:10" x14ac:dyDescent="0.3">
      <c r="I205" s="1"/>
      <c r="J205" s="1"/>
    </row>
    <row r="206" spans="9:10" x14ac:dyDescent="0.3">
      <c r="I206" s="1"/>
      <c r="J206" s="1"/>
    </row>
    <row r="207" spans="9:10" x14ac:dyDescent="0.3">
      <c r="I207" s="1"/>
      <c r="J207" s="1"/>
    </row>
    <row r="208" spans="9:10" x14ac:dyDescent="0.3">
      <c r="I208" s="1"/>
      <c r="J208" s="1"/>
    </row>
    <row r="209" spans="9:10" x14ac:dyDescent="0.3">
      <c r="I209" s="1"/>
      <c r="J209" s="1"/>
    </row>
    <row r="210" spans="9:10" x14ac:dyDescent="0.3">
      <c r="I210" s="1"/>
      <c r="J210" s="1"/>
    </row>
    <row r="211" spans="9:10" x14ac:dyDescent="0.3">
      <c r="I211" s="1"/>
      <c r="J211" s="1"/>
    </row>
  </sheetData>
  <mergeCells count="4">
    <mergeCell ref="C7:F7"/>
    <mergeCell ref="C15:F15"/>
    <mergeCell ref="C22:F22"/>
    <mergeCell ref="C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CRR</vt:lpstr>
      <vt:lpstr>K</vt:lpstr>
      <vt:lpstr>r_</vt:lpstr>
      <vt:lpstr>CRR!S</vt:lpstr>
      <vt:lpstr>S</vt:lpstr>
      <vt:lpstr>CRR!t</vt:lpstr>
      <vt:lpstr>T</vt:lpstr>
      <vt:lpstr>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Mohanad A</cp:lastModifiedBy>
  <dcterms:created xsi:type="dcterms:W3CDTF">2026-02-17T06:26:28Z</dcterms:created>
  <dcterms:modified xsi:type="dcterms:W3CDTF">2026-03-01T18:50:40Z</dcterms:modified>
</cp:coreProperties>
</file>