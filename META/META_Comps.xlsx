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B718EC7-34CD-494F-B30E-86EC1251E4B3}" xr6:coauthVersionLast="47" xr6:coauthVersionMax="47" xr10:uidLastSave="{00000000-0000-0000-0000-000000000000}"/>
  <bookViews>
    <workbookView xWindow="-28920" yWindow="660" windowWidth="29040" windowHeight="15720" xr2:uid="{D01B25C2-CA04-4D87-8896-28C88946E0C3}"/>
  </bookViews>
  <sheets>
    <sheet name="Comps" sheetId="8" r:id="rId1"/>
    <sheet name="CompsInputs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1" i="8" l="1"/>
  <c r="T12" i="8"/>
  <c r="T13" i="8"/>
  <c r="T14" i="8"/>
  <c r="T19" i="8"/>
  <c r="T24" i="8" s="1"/>
  <c r="T20" i="8"/>
  <c r="T21" i="8"/>
  <c r="T22" i="8"/>
  <c r="K11" i="8"/>
  <c r="L11" i="8"/>
  <c r="M11" i="8"/>
  <c r="K12" i="8"/>
  <c r="L12" i="8"/>
  <c r="M12" i="8"/>
  <c r="K13" i="8"/>
  <c r="L13" i="8"/>
  <c r="M13" i="8"/>
  <c r="K14" i="8"/>
  <c r="L14" i="8"/>
  <c r="M14" i="8"/>
  <c r="K19" i="8"/>
  <c r="L19" i="8"/>
  <c r="M19" i="8"/>
  <c r="K20" i="8"/>
  <c r="L20" i="8"/>
  <c r="M20" i="8"/>
  <c r="K21" i="8"/>
  <c r="L21" i="8"/>
  <c r="M21" i="8"/>
  <c r="K22" i="8"/>
  <c r="L22" i="8"/>
  <c r="M22" i="8"/>
  <c r="K28" i="8"/>
  <c r="B28" i="8"/>
  <c r="G142" i="9"/>
  <c r="F142" i="9"/>
  <c r="E142" i="9"/>
  <c r="M25" i="8" l="1"/>
  <c r="T27" i="8"/>
  <c r="L25" i="8"/>
  <c r="T26" i="8"/>
  <c r="T28" i="8"/>
  <c r="K27" i="8"/>
  <c r="T25" i="8"/>
  <c r="L27" i="8"/>
  <c r="K24" i="8"/>
  <c r="M26" i="8"/>
  <c r="L24" i="8"/>
  <c r="L28" i="8"/>
  <c r="M27" i="8"/>
  <c r="M24" i="8"/>
  <c r="M28" i="8"/>
  <c r="L26" i="8"/>
  <c r="K26" i="8"/>
  <c r="K25" i="8"/>
  <c r="I145" i="9"/>
  <c r="H145" i="9"/>
  <c r="G145" i="9"/>
  <c r="F145" i="9"/>
  <c r="E145" i="9"/>
  <c r="I136" i="9"/>
  <c r="H136" i="9"/>
  <c r="G136" i="9"/>
  <c r="F136" i="9"/>
  <c r="E136" i="9"/>
  <c r="F86" i="9"/>
  <c r="E86" i="9"/>
  <c r="F85" i="9"/>
  <c r="E85" i="9"/>
  <c r="F84" i="9"/>
  <c r="E84" i="9"/>
  <c r="F83" i="9"/>
  <c r="E83" i="9"/>
  <c r="I117" i="9"/>
  <c r="I108" i="9"/>
  <c r="I99" i="9"/>
  <c r="I89" i="9"/>
  <c r="I81" i="9"/>
  <c r="I62" i="9"/>
  <c r="I45" i="9"/>
  <c r="I28" i="9"/>
  <c r="H117" i="9"/>
  <c r="H108" i="9"/>
  <c r="H99" i="9"/>
  <c r="G117" i="9"/>
  <c r="F117" i="9"/>
  <c r="E117" i="9"/>
  <c r="G108" i="9"/>
  <c r="F108" i="9"/>
  <c r="E108" i="9"/>
  <c r="G99" i="9"/>
  <c r="F99" i="9"/>
  <c r="E99" i="9"/>
  <c r="H89" i="9"/>
  <c r="H81" i="9"/>
  <c r="G89" i="9"/>
  <c r="F89" i="9"/>
  <c r="E89" i="9"/>
  <c r="G81" i="9"/>
  <c r="F81" i="9"/>
  <c r="E81" i="9"/>
  <c r="H28" i="9"/>
  <c r="H45" i="9"/>
  <c r="H62" i="9"/>
  <c r="G65" i="9" l="1"/>
  <c r="G68" i="9" s="1"/>
  <c r="G76" i="9" s="1"/>
  <c r="F65" i="9"/>
  <c r="F68" i="9" s="1"/>
  <c r="F76" i="9" s="1"/>
  <c r="E65" i="9"/>
  <c r="E68" i="9" s="1"/>
  <c r="E76" i="9" s="1"/>
  <c r="G48" i="9"/>
  <c r="G51" i="9" s="1"/>
  <c r="G59" i="9" s="1"/>
  <c r="F48" i="9"/>
  <c r="F51" i="9" s="1"/>
  <c r="F59" i="9" s="1"/>
  <c r="E48" i="9"/>
  <c r="E51" i="9" s="1"/>
  <c r="G137" i="9"/>
  <c r="G160" i="9" s="1"/>
  <c r="F137" i="9"/>
  <c r="F160" i="9" s="1"/>
  <c r="E137" i="9"/>
  <c r="E160" i="9" s="1"/>
  <c r="G129" i="9"/>
  <c r="G131" i="9" s="1"/>
  <c r="G141" i="9" s="1"/>
  <c r="F129" i="9"/>
  <c r="F131" i="9" s="1"/>
  <c r="F141" i="9" s="1"/>
  <c r="E129" i="9"/>
  <c r="E131" i="9" s="1"/>
  <c r="E141" i="9" s="1"/>
  <c r="G94" i="9"/>
  <c r="F94" i="9"/>
  <c r="E94" i="9"/>
  <c r="G91" i="9"/>
  <c r="F91" i="9"/>
  <c r="E91" i="9"/>
  <c r="I22" i="8"/>
  <c r="I21" i="8"/>
  <c r="E150" i="9"/>
  <c r="I19" i="8"/>
  <c r="G62" i="9"/>
  <c r="F62" i="9"/>
  <c r="E62" i="9"/>
  <c r="G45" i="9"/>
  <c r="F45" i="9"/>
  <c r="E45" i="9"/>
  <c r="G31" i="9"/>
  <c r="G34" i="9" s="1"/>
  <c r="G42" i="9" s="1"/>
  <c r="F31" i="9"/>
  <c r="F34" i="9" s="1"/>
  <c r="F42" i="9" s="1"/>
  <c r="E31" i="9"/>
  <c r="E34" i="9" s="1"/>
  <c r="E42" i="9" s="1"/>
  <c r="G28" i="9"/>
  <c r="F28" i="9"/>
  <c r="E28" i="9"/>
  <c r="G21" i="9"/>
  <c r="G139" i="9" s="1"/>
  <c r="F21" i="9"/>
  <c r="F139" i="9" s="1"/>
  <c r="E21" i="9"/>
  <c r="E139" i="9" s="1"/>
  <c r="B22" i="8"/>
  <c r="B21" i="8"/>
  <c r="B20" i="8"/>
  <c r="B19" i="8"/>
  <c r="S14" i="8"/>
  <c r="R14" i="8"/>
  <c r="Q14" i="8"/>
  <c r="P14" i="8"/>
  <c r="N14" i="8"/>
  <c r="I14" i="8"/>
  <c r="F14" i="8"/>
  <c r="B14" i="8"/>
  <c r="S13" i="8"/>
  <c r="R13" i="8"/>
  <c r="Q13" i="8"/>
  <c r="P13" i="8"/>
  <c r="N13" i="8"/>
  <c r="I13" i="8"/>
  <c r="F13" i="8"/>
  <c r="B13" i="8"/>
  <c r="S12" i="8"/>
  <c r="R12" i="8"/>
  <c r="Q12" i="8"/>
  <c r="P12" i="8"/>
  <c r="N12" i="8"/>
  <c r="I12" i="8"/>
  <c r="F12" i="8"/>
  <c r="B12" i="8"/>
  <c r="S11" i="8"/>
  <c r="R11" i="8"/>
  <c r="Q11" i="8"/>
  <c r="P11" i="8"/>
  <c r="N11" i="8"/>
  <c r="I11" i="8"/>
  <c r="F11" i="8"/>
  <c r="B11" i="8"/>
  <c r="E53" i="9" l="1"/>
  <c r="E55" i="9" s="1"/>
  <c r="E59" i="9"/>
  <c r="G70" i="9"/>
  <c r="G72" i="9" s="1"/>
  <c r="F70" i="9"/>
  <c r="F72" i="9" s="1"/>
  <c r="E70" i="9"/>
  <c r="E72" i="9" s="1"/>
  <c r="F53" i="9"/>
  <c r="F55" i="9" s="1"/>
  <c r="G53" i="9"/>
  <c r="G55" i="9" s="1"/>
  <c r="I20" i="8"/>
  <c r="I27" i="8" s="1"/>
  <c r="C12" i="8"/>
  <c r="N22" i="8"/>
  <c r="S22" i="8"/>
  <c r="C11" i="8"/>
  <c r="N19" i="8"/>
  <c r="N28" i="8" s="1"/>
  <c r="S19" i="8"/>
  <c r="I24" i="8"/>
  <c r="N21" i="8"/>
  <c r="H12" i="8"/>
  <c r="S21" i="8"/>
  <c r="H11" i="8"/>
  <c r="H13" i="8"/>
  <c r="C14" i="8"/>
  <c r="E138" i="9"/>
  <c r="F138" i="9"/>
  <c r="N20" i="8"/>
  <c r="E155" i="9"/>
  <c r="E162" i="9" s="1"/>
  <c r="C13" i="8"/>
  <c r="S20" i="8"/>
  <c r="D13" i="8"/>
  <c r="D14" i="8"/>
  <c r="G36" i="9"/>
  <c r="G38" i="9" s="1"/>
  <c r="H14" i="8"/>
  <c r="G93" i="9"/>
  <c r="D12" i="8"/>
  <c r="G138" i="9"/>
  <c r="F150" i="9"/>
  <c r="F155" i="9"/>
  <c r="F93" i="9"/>
  <c r="G150" i="9"/>
  <c r="G155" i="9"/>
  <c r="E36" i="9"/>
  <c r="E38" i="9" s="1"/>
  <c r="E93" i="9"/>
  <c r="F36" i="9"/>
  <c r="F38" i="9" s="1"/>
  <c r="I28" i="8"/>
  <c r="I26" i="8" l="1"/>
  <c r="I25" i="8"/>
  <c r="S26" i="8"/>
  <c r="S27" i="8"/>
  <c r="S28" i="8"/>
  <c r="S25" i="8"/>
  <c r="N25" i="8"/>
  <c r="S24" i="8"/>
  <c r="N26" i="8"/>
  <c r="N27" i="8"/>
  <c r="N24" i="8"/>
  <c r="G92" i="9"/>
  <c r="G14" i="8"/>
  <c r="G22" i="8"/>
  <c r="E148" i="9"/>
  <c r="G12" i="8"/>
  <c r="E92" i="9"/>
  <c r="G159" i="9"/>
  <c r="G157" i="9"/>
  <c r="G154" i="9"/>
  <c r="G152" i="9"/>
  <c r="G149" i="9"/>
  <c r="G147" i="9"/>
  <c r="R22" i="8"/>
  <c r="H22" i="8"/>
  <c r="Q22" i="8"/>
  <c r="P22" i="8"/>
  <c r="F22" i="8"/>
  <c r="G158" i="9"/>
  <c r="G153" i="9"/>
  <c r="E159" i="9"/>
  <c r="E157" i="9"/>
  <c r="E154" i="9"/>
  <c r="E152" i="9"/>
  <c r="E149" i="9"/>
  <c r="E147" i="9"/>
  <c r="E158" i="9"/>
  <c r="F20" i="8"/>
  <c r="P20" i="8"/>
  <c r="R20" i="8"/>
  <c r="H20" i="8"/>
  <c r="Q20" i="8"/>
  <c r="E153" i="9"/>
  <c r="Q21" i="8"/>
  <c r="F159" i="9"/>
  <c r="F157" i="9"/>
  <c r="F154" i="9"/>
  <c r="F152" i="9"/>
  <c r="F149" i="9"/>
  <c r="F147" i="9"/>
  <c r="P21" i="8"/>
  <c r="F21" i="8"/>
  <c r="R21" i="8"/>
  <c r="H21" i="8"/>
  <c r="F158" i="9"/>
  <c r="F153" i="9"/>
  <c r="G11" i="8"/>
  <c r="G162" i="9"/>
  <c r="F162" i="9"/>
  <c r="D11" i="8"/>
  <c r="F92" i="9"/>
  <c r="G13" i="8"/>
  <c r="F148" i="9"/>
  <c r="G20" i="8" l="1"/>
  <c r="R19" i="8"/>
  <c r="H19" i="8"/>
  <c r="Q19" i="8"/>
  <c r="G19" i="8"/>
  <c r="P19" i="8"/>
  <c r="F19" i="8"/>
  <c r="G148" i="9"/>
  <c r="G21" i="8"/>
  <c r="F24" i="8" l="1"/>
  <c r="F26" i="8"/>
  <c r="F25" i="8"/>
  <c r="F27" i="8"/>
  <c r="F28" i="8"/>
  <c r="G27" i="8"/>
  <c r="G26" i="8"/>
  <c r="G28" i="8"/>
  <c r="G24" i="8"/>
  <c r="G25" i="8"/>
  <c r="H24" i="8"/>
  <c r="H25" i="8"/>
  <c r="H27" i="8"/>
  <c r="H26" i="8"/>
  <c r="H28" i="8"/>
  <c r="R24" i="8"/>
  <c r="R25" i="8"/>
  <c r="R28" i="8"/>
  <c r="R27" i="8"/>
  <c r="R26" i="8"/>
  <c r="P24" i="8"/>
  <c r="P27" i="8"/>
  <c r="P26" i="8"/>
  <c r="P28" i="8"/>
  <c r="P25" i="8"/>
  <c r="Q27" i="8"/>
  <c r="Q26" i="8"/>
  <c r="Q28" i="8"/>
  <c r="Q25" i="8"/>
  <c r="Q24" i="8"/>
</calcChain>
</file>

<file path=xl/sharedStrings.xml><?xml version="1.0" encoding="utf-8"?>
<sst xmlns="http://schemas.openxmlformats.org/spreadsheetml/2006/main" count="192" uniqueCount="122">
  <si>
    <t>COGS</t>
  </si>
  <si>
    <t>EBITDA</t>
  </si>
  <si>
    <t>EPS</t>
  </si>
  <si>
    <t>D&amp;A</t>
  </si>
  <si>
    <t>EBIT</t>
  </si>
  <si>
    <t>R&amp;D</t>
  </si>
  <si>
    <t>Enterprise Value</t>
  </si>
  <si>
    <t>Last Twelve Months (LTM)</t>
  </si>
  <si>
    <t>Year 1 Forecast - Calendar Year</t>
  </si>
  <si>
    <t>Year 2 Forecast - Calendar Year</t>
  </si>
  <si>
    <t>Ticker</t>
  </si>
  <si>
    <t>Market capitalization (mm)</t>
  </si>
  <si>
    <t>Enterprise value (EV)</t>
  </si>
  <si>
    <t xml:space="preserve">Revenues </t>
  </si>
  <si>
    <t>LT growth rate</t>
  </si>
  <si>
    <t>EV / Revenues</t>
  </si>
  <si>
    <t>EV / EBITDA</t>
  </si>
  <si>
    <t>EV / EBIT</t>
  </si>
  <si>
    <t xml:space="preserve">P/E </t>
  </si>
  <si>
    <t>P/E</t>
  </si>
  <si>
    <t>PEG ratio</t>
  </si>
  <si>
    <t>High</t>
  </si>
  <si>
    <t>Low</t>
  </si>
  <si>
    <t>Median</t>
  </si>
  <si>
    <t>Mean</t>
  </si>
  <si>
    <t>EXTR</t>
  </si>
  <si>
    <t>Name</t>
  </si>
  <si>
    <t>Market Data Inputs</t>
  </si>
  <si>
    <t>Date of latest filing</t>
  </si>
  <si>
    <t xml:space="preserve">Date of latest fiscal year end (FYE) </t>
  </si>
  <si>
    <t>Stock price on current date</t>
  </si>
  <si>
    <t>Share price date</t>
  </si>
  <si>
    <t>Shares Data</t>
  </si>
  <si>
    <t xml:space="preserve">Basic shares outstanding </t>
  </si>
  <si>
    <t>Net shares from exercisable options</t>
  </si>
  <si>
    <t>Total shares from convertible debt</t>
  </si>
  <si>
    <t>Fully diluted shares</t>
  </si>
  <si>
    <t>Financials</t>
  </si>
  <si>
    <t>LAST FISCAL YEAR</t>
  </si>
  <si>
    <t>Revenues</t>
  </si>
  <si>
    <t xml:space="preserve">Gross Profit </t>
  </si>
  <si>
    <t>SG&amp;A</t>
  </si>
  <si>
    <t>Interest expense</t>
  </si>
  <si>
    <t>Pretax income</t>
  </si>
  <si>
    <t>Taxes (Benefit)</t>
  </si>
  <si>
    <t xml:space="preserve">Net Income </t>
  </si>
  <si>
    <t>Diluted EPS</t>
  </si>
  <si>
    <t>LAST QUARTER</t>
  </si>
  <si>
    <t>LAST QUARTER MINUS 1</t>
  </si>
  <si>
    <t>LAST TWELVE MONTHS (LTM)</t>
  </si>
  <si>
    <t>LTM ending date:</t>
  </si>
  <si>
    <t>Revenues - LTM</t>
  </si>
  <si>
    <t>EBITDA - LTM</t>
  </si>
  <si>
    <t>EBIT - LTM</t>
  </si>
  <si>
    <t>EPS - LTM</t>
  </si>
  <si>
    <t>Year ending date</t>
  </si>
  <si>
    <t>Revenues - latest FYE</t>
  </si>
  <si>
    <t>EBITDA - latest FYE</t>
  </si>
  <si>
    <t>EBIT - latest FYE</t>
  </si>
  <si>
    <t>EPS - latest FYE</t>
  </si>
  <si>
    <t>YEAR 1 FORECAST - CALENDAR YEAR</t>
  </si>
  <si>
    <t>Revenues - Year 1</t>
  </si>
  <si>
    <t>EBITDA - Year 1</t>
  </si>
  <si>
    <t>EBIT - Year 1</t>
  </si>
  <si>
    <t>EPS - Year 1</t>
  </si>
  <si>
    <t>Source for estimates:</t>
  </si>
  <si>
    <t>S&amp;P/CIQ</t>
  </si>
  <si>
    <t>YEAR 2 FORECAST - CALENDAR YEAR</t>
  </si>
  <si>
    <t>Revenues - Year 2</t>
  </si>
  <si>
    <t>EBITDA - Year 2</t>
  </si>
  <si>
    <t>EBIT - Year 2</t>
  </si>
  <si>
    <t>EPS - Year 2</t>
  </si>
  <si>
    <t>LONG TERM (5 YEAR) GROWTH RATE</t>
  </si>
  <si>
    <t>Long-term growth rate</t>
  </si>
  <si>
    <t>Source Document</t>
  </si>
  <si>
    <t>Balance Sheet Data</t>
  </si>
  <si>
    <t>ST Data (Incl. current portion)</t>
  </si>
  <si>
    <t>LT debt</t>
  </si>
  <si>
    <t>Noncontrolling interests</t>
  </si>
  <si>
    <t>preferred stock</t>
  </si>
  <si>
    <t>Cash &amp; equivalents</t>
  </si>
  <si>
    <t>Net Debt</t>
  </si>
  <si>
    <t>Multiples</t>
  </si>
  <si>
    <t>MARKET VALUATION</t>
  </si>
  <si>
    <t>Share Price</t>
  </si>
  <si>
    <t>Diluted Shares Outst.</t>
  </si>
  <si>
    <t>Market Capitalization</t>
  </si>
  <si>
    <t>MULTIPLES SUMMARY</t>
  </si>
  <si>
    <t>Last twelve month (LTM)</t>
  </si>
  <si>
    <t>EV Multiples</t>
  </si>
  <si>
    <t xml:space="preserve">EV / Revenues - LTM </t>
  </si>
  <si>
    <t xml:space="preserve">EV / EBITDA - LTM </t>
  </si>
  <si>
    <t xml:space="preserve">EV / EBIT - LTM </t>
  </si>
  <si>
    <t xml:space="preserve">P/E - LTM </t>
  </si>
  <si>
    <t>Year 1</t>
  </si>
  <si>
    <t>EV / Revenues - Year 1</t>
  </si>
  <si>
    <t>EV / EBITDA - Year 1</t>
  </si>
  <si>
    <t>EV / EBIT - Year 1</t>
  </si>
  <si>
    <t>P/E - Year 1</t>
  </si>
  <si>
    <t>Year 2</t>
  </si>
  <si>
    <t>EV / Revenues - Year 2</t>
  </si>
  <si>
    <t>EV / EBITDA - Year 2</t>
  </si>
  <si>
    <t>EV / EBIT - Year 2</t>
  </si>
  <si>
    <t>P/E - Year 2</t>
  </si>
  <si>
    <t>PE/LTG (PEG ratio)</t>
  </si>
  <si>
    <t>Comps</t>
  </si>
  <si>
    <t>CompsInputs</t>
  </si>
  <si>
    <t>GOOGL</t>
  </si>
  <si>
    <t>SNAP</t>
  </si>
  <si>
    <t>MSFT</t>
  </si>
  <si>
    <t>Alphabet Inc.</t>
  </si>
  <si>
    <t>Primary Ad Competitor</t>
  </si>
  <si>
    <t>Snap Inc.</t>
  </si>
  <si>
    <t>Social Media Peer</t>
  </si>
  <si>
    <t>Microsoft</t>
  </si>
  <si>
    <t>AI / Infrastructure Peer</t>
  </si>
  <si>
    <t>META</t>
  </si>
  <si>
    <t>S&amp;P/CIQ Forecast</t>
  </si>
  <si>
    <t>Gross Debit</t>
  </si>
  <si>
    <t>Total shares from convertible preferred stock</t>
  </si>
  <si>
    <t>LTM &amp; LFY</t>
  </si>
  <si>
    <t>(10-K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</si>
</sst>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7" formatCode="&quot;$&quot;#,##0.00_);\(&quot;$&quot;#,##0.00\)"/>
    <numFmt numFmtId="8" formatCode="&quot;$&quot;#,##0.00_);[Red]\(&quot;$&quot;#,##0.00\)"/>
    <numFmt numFmtId="167" formatCode="0.0\x_);\(0.0\x\);@_)"/>
    <numFmt numFmtId="168" formatCode="#,##0.0_);\(#,##0.0\);\-_);@_)"/>
    <numFmt numFmtId="169" formatCode="#,##0.0_);\(#,##0.0\);@_)"/>
    <numFmt numFmtId="170" formatCode="#,##0.00_);\(#,##0.00\);@_)"/>
    <numFmt numFmtId="171" formatCode="0.0%_);\(0.0%\);@_)"/>
    <numFmt numFmtId="172" formatCode="m/d/yyyy;@"/>
    <numFmt numFmtId="173" formatCode="#,##0.0_);\(#,##0.0\)"/>
    <numFmt numFmtId="174" formatCode="0.0\x;\ \(0.0\x\)"/>
    <numFmt numFmtId="175" formatCode="m/d/yy;@"/>
    <numFmt numFmtId="176" formatCode="&quot;$&quot;#,##0.0_);\(&quot;$&quot;#,##0.0\)"/>
    <numFmt numFmtId="177" formatCode="&quot;$&quot;#,##0.00000_);\(&quot;$&quot;#,##0.00000\)"/>
    <numFmt numFmtId="178" formatCode="&quot;$&quot;#,##0.000_);\(&quot;$&quot;#,##0.000\)"/>
    <numFmt numFmtId="179" formatCode="0.000%"/>
    <numFmt numFmtId="180" formatCode="0.0%;\ \(0.0%\)"/>
    <numFmt numFmtId="181" formatCode="&quot;$&quot;#,##0.00_);\(&quot;$&quot;#,##0.00\);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theme="0"/>
      </right>
      <top/>
      <bottom style="medium">
        <color rgb="FF000000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/>
      </right>
      <top style="thin">
        <color theme="2"/>
      </top>
      <bottom style="thin">
        <color theme="2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4" fontId="0" fillId="0" borderId="0" xfId="0" applyNumberFormat="1"/>
    <xf numFmtId="3" fontId="1" fillId="0" borderId="0" xfId="0" applyNumberFormat="1" applyFont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1" fillId="3" borderId="6" xfId="0" applyNumberFormat="1" applyFont="1" applyFill="1" applyBorder="1"/>
    <xf numFmtId="3" fontId="0" fillId="3" borderId="6" xfId="0" applyNumberFormat="1" applyFill="1" applyBorder="1"/>
    <xf numFmtId="0" fontId="0" fillId="4" borderId="0" xfId="0" applyFill="1"/>
    <xf numFmtId="0" fontId="0" fillId="3" borderId="6" xfId="0" applyFill="1" applyBorder="1"/>
    <xf numFmtId="0" fontId="0" fillId="0" borderId="7" xfId="0" applyBorder="1"/>
    <xf numFmtId="3" fontId="0" fillId="0" borderId="6" xfId="0" applyNumberFormat="1" applyBorder="1"/>
    <xf numFmtId="0" fontId="0" fillId="0" borderId="8" xfId="0" applyBorder="1"/>
    <xf numFmtId="0" fontId="2" fillId="5" borderId="0" xfId="0" applyFont="1" applyFill="1"/>
    <xf numFmtId="0" fontId="0" fillId="5" borderId="0" xfId="0" applyFill="1"/>
    <xf numFmtId="0" fontId="1" fillId="5" borderId="0" xfId="0" applyFont="1" applyFill="1"/>
    <xf numFmtId="167" fontId="0" fillId="0" borderId="0" xfId="0" applyNumberFormat="1" applyAlignment="1">
      <alignment horizontal="right"/>
    </xf>
    <xf numFmtId="0" fontId="1" fillId="0" borderId="9" xfId="0" applyFont="1" applyBorder="1" applyAlignment="1">
      <alignment horizontal="centerContinuous"/>
    </xf>
    <xf numFmtId="167" fontId="0" fillId="0" borderId="9" xfId="0" applyNumberFormat="1" applyBorder="1" applyAlignment="1">
      <alignment horizontal="centerContinuous"/>
    </xf>
    <xf numFmtId="0" fontId="5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right" wrapText="1"/>
    </xf>
    <xf numFmtId="0" fontId="5" fillId="0" borderId="11" xfId="0" applyFont="1" applyBorder="1" applyAlignment="1">
      <alignment horizontal="right" wrapText="1"/>
    </xf>
    <xf numFmtId="168" fontId="0" fillId="0" borderId="0" xfId="0" applyNumberFormat="1" applyAlignment="1">
      <alignment horizontal="left"/>
    </xf>
    <xf numFmtId="37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8" xfId="0" applyNumberFormat="1" applyBorder="1"/>
    <xf numFmtId="172" fontId="0" fillId="0" borderId="0" xfId="0" applyNumberFormat="1"/>
    <xf numFmtId="173" fontId="0" fillId="0" borderId="0" xfId="0" applyNumberFormat="1"/>
    <xf numFmtId="0" fontId="6" fillId="0" borderId="10" xfId="0" applyFont="1" applyBorder="1" applyAlignment="1">
      <alignment horizontal="right"/>
    </xf>
    <xf numFmtId="0" fontId="6" fillId="0" borderId="10" xfId="0" applyFont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174" fontId="0" fillId="0" borderId="0" xfId="0" applyNumberFormat="1" applyAlignment="1">
      <alignment horizontal="right"/>
    </xf>
    <xf numFmtId="167" fontId="0" fillId="0" borderId="8" xfId="0" applyNumberFormat="1" applyBorder="1" applyAlignment="1">
      <alignment horizontal="right"/>
    </xf>
    <xf numFmtId="0" fontId="0" fillId="0" borderId="12" xfId="0" applyBorder="1"/>
    <xf numFmtId="0" fontId="0" fillId="2" borderId="1" xfId="0" applyFill="1" applyBorder="1"/>
    <xf numFmtId="175" fontId="0" fillId="3" borderId="13" xfId="0" applyNumberFormat="1" applyFill="1" applyBorder="1"/>
    <xf numFmtId="14" fontId="0" fillId="3" borderId="6" xfId="0" applyNumberFormat="1" applyFill="1" applyBorder="1"/>
    <xf numFmtId="175" fontId="0" fillId="3" borderId="6" xfId="0" applyNumberFormat="1" applyFill="1" applyBorder="1"/>
    <xf numFmtId="176" fontId="0" fillId="0" borderId="0" xfId="0" applyNumberFormat="1"/>
    <xf numFmtId="7" fontId="1" fillId="3" borderId="6" xfId="0" applyNumberFormat="1" applyFont="1" applyFill="1" applyBorder="1"/>
    <xf numFmtId="3" fontId="0" fillId="3" borderId="15" xfId="0" applyNumberFormat="1" applyFill="1" applyBorder="1"/>
    <xf numFmtId="37" fontId="1" fillId="0" borderId="0" xfId="0" applyNumberFormat="1" applyFont="1"/>
    <xf numFmtId="173" fontId="1" fillId="0" borderId="0" xfId="0" applyNumberFormat="1" applyFont="1"/>
    <xf numFmtId="3" fontId="0" fillId="3" borderId="13" xfId="0" applyNumberFormat="1" applyFill="1" applyBorder="1"/>
    <xf numFmtId="168" fontId="1" fillId="3" borderId="6" xfId="0" applyNumberFormat="1" applyFont="1" applyFill="1" applyBorder="1" applyAlignment="1">
      <alignment horizontal="right"/>
    </xf>
    <xf numFmtId="175" fontId="0" fillId="3" borderId="16" xfId="0" applyNumberFormat="1" applyFill="1" applyBorder="1"/>
    <xf numFmtId="176" fontId="0" fillId="3" borderId="6" xfId="0" applyNumberFormat="1" applyFill="1" applyBorder="1"/>
    <xf numFmtId="173" fontId="0" fillId="3" borderId="6" xfId="0" applyNumberFormat="1" applyFill="1" applyBorder="1"/>
    <xf numFmtId="169" fontId="0" fillId="3" borderId="6" xfId="0" applyNumberFormat="1" applyFill="1" applyBorder="1"/>
    <xf numFmtId="169" fontId="1" fillId="3" borderId="6" xfId="0" applyNumberFormat="1" applyFont="1" applyFill="1" applyBorder="1"/>
    <xf numFmtId="0" fontId="6" fillId="0" borderId="1" xfId="0" applyFont="1" applyBorder="1"/>
    <xf numFmtId="4" fontId="1" fillId="3" borderId="6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6" xfId="0" applyNumberFormat="1" applyFill="1" applyBorder="1"/>
    <xf numFmtId="0" fontId="0" fillId="0" borderId="14" xfId="0" applyBorder="1"/>
    <xf numFmtId="168" fontId="1" fillId="3" borderId="17" xfId="0" applyNumberFormat="1" applyFont="1" applyFill="1" applyBorder="1" applyAlignment="1">
      <alignment horizontal="right"/>
    </xf>
    <xf numFmtId="3" fontId="1" fillId="3" borderId="15" xfId="0" applyNumberFormat="1" applyFont="1" applyFill="1" applyBorder="1"/>
    <xf numFmtId="4" fontId="1" fillId="3" borderId="15" xfId="0" applyNumberFormat="1" applyFont="1" applyFill="1" applyBorder="1" applyAlignment="1">
      <alignment horizontal="right"/>
    </xf>
    <xf numFmtId="0" fontId="0" fillId="3" borderId="15" xfId="0" applyFill="1" applyBorder="1"/>
    <xf numFmtId="173" fontId="0" fillId="3" borderId="15" xfId="0" applyNumberFormat="1" applyFill="1" applyBorder="1"/>
    <xf numFmtId="169" fontId="0" fillId="3" borderId="15" xfId="0" applyNumberFormat="1" applyFill="1" applyBorder="1"/>
    <xf numFmtId="0" fontId="10" fillId="0" borderId="0" xfId="0" applyFont="1"/>
    <xf numFmtId="7" fontId="0" fillId="0" borderId="0" xfId="0" applyNumberFormat="1"/>
    <xf numFmtId="14" fontId="10" fillId="0" borderId="0" xfId="0" applyNumberFormat="1" applyFont="1"/>
    <xf numFmtId="4" fontId="0" fillId="3" borderId="6" xfId="0" applyNumberFormat="1" applyFill="1" applyBorder="1"/>
    <xf numFmtId="0" fontId="11" fillId="0" borderId="0" xfId="0" applyFont="1"/>
    <xf numFmtId="7" fontId="11" fillId="0" borderId="0" xfId="0" applyNumberFormat="1" applyFont="1"/>
    <xf numFmtId="179" fontId="0" fillId="0" borderId="0" xfId="0" applyNumberFormat="1"/>
    <xf numFmtId="175" fontId="10" fillId="0" borderId="0" xfId="0" applyNumberFormat="1" applyFont="1"/>
    <xf numFmtId="7" fontId="0" fillId="3" borderId="6" xfId="0" applyNumberFormat="1" applyFill="1" applyBorder="1"/>
    <xf numFmtId="7" fontId="11" fillId="3" borderId="6" xfId="0" applyNumberFormat="1" applyFont="1" applyFill="1" applyBorder="1"/>
    <xf numFmtId="180" fontId="0" fillId="3" borderId="6" xfId="0" applyNumberFormat="1" applyFill="1" applyBorder="1"/>
    <xf numFmtId="176" fontId="1" fillId="3" borderId="6" xfId="0" applyNumberFormat="1" applyFont="1" applyFill="1" applyBorder="1"/>
    <xf numFmtId="0" fontId="0" fillId="0" borderId="0" xfId="0" applyAlignment="1">
      <alignment horizontal="left" indent="1"/>
    </xf>
    <xf numFmtId="181" fontId="0" fillId="0" borderId="6" xfId="0" applyNumberFormat="1" applyBorder="1"/>
    <xf numFmtId="169" fontId="0" fillId="0" borderId="6" xfId="0" applyNumberFormat="1" applyBorder="1"/>
    <xf numFmtId="3" fontId="1" fillId="0" borderId="6" xfId="0" applyNumberFormat="1" applyFont="1" applyBorder="1"/>
    <xf numFmtId="169" fontId="1" fillId="0" borderId="6" xfId="0" applyNumberFormat="1" applyFont="1" applyBorder="1"/>
    <xf numFmtId="176" fontId="1" fillId="0" borderId="6" xfId="0" applyNumberFormat="1" applyFont="1" applyBorder="1"/>
    <xf numFmtId="174" fontId="0" fillId="0" borderId="0" xfId="0" applyNumberFormat="1"/>
    <xf numFmtId="0" fontId="9" fillId="0" borderId="0" xfId="0" applyFont="1"/>
    <xf numFmtId="0" fontId="0" fillId="0" borderId="18" xfId="0" applyBorder="1"/>
    <xf numFmtId="0" fontId="9" fillId="0" borderId="1" xfId="0" applyFont="1" applyBorder="1"/>
    <xf numFmtId="14" fontId="0" fillId="0" borderId="1" xfId="0" applyNumberFormat="1" applyBorder="1"/>
    <xf numFmtId="8" fontId="0" fillId="0" borderId="1" xfId="0" applyNumberFormat="1" applyBorder="1"/>
    <xf numFmtId="3" fontId="0" fillId="0" borderId="1" xfId="0" applyNumberFormat="1" applyBorder="1"/>
    <xf numFmtId="168" fontId="1" fillId="4" borderId="6" xfId="0" applyNumberFormat="1" applyFont="1" applyFill="1" applyBorder="1" applyAlignment="1">
      <alignment horizontal="right"/>
    </xf>
    <xf numFmtId="0" fontId="0" fillId="4" borderId="6" xfId="0" applyFill="1" applyBorder="1"/>
    <xf numFmtId="4" fontId="0" fillId="3" borderId="6" xfId="0" applyNumberFormat="1" applyFill="1" applyBorder="1" applyAlignment="1">
      <alignment horizontal="right"/>
    </xf>
    <xf numFmtId="2" fontId="0" fillId="3" borderId="6" xfId="0" applyNumberFormat="1" applyFill="1" applyBorder="1"/>
    <xf numFmtId="10" fontId="0" fillId="0" borderId="1" xfId="0" applyNumberFormat="1" applyBorder="1"/>
    <xf numFmtId="7" fontId="0" fillId="5" borderId="0" xfId="0" applyNumberFormat="1" applyFill="1"/>
    <xf numFmtId="175" fontId="0" fillId="5" borderId="13" xfId="0" applyNumberFormat="1" applyFill="1" applyBorder="1"/>
    <xf numFmtId="177" fontId="0" fillId="5" borderId="0" xfId="0" applyNumberFormat="1" applyFill="1"/>
    <xf numFmtId="178" fontId="0" fillId="5" borderId="0" xfId="0" applyNumberFormat="1" applyFill="1"/>
    <xf numFmtId="0" fontId="0" fillId="0" borderId="17" xfId="0" applyBorder="1"/>
    <xf numFmtId="0" fontId="0" fillId="3" borderId="13" xfId="0" applyFill="1" applyBorder="1"/>
    <xf numFmtId="7" fontId="1" fillId="3" borderId="13" xfId="0" applyNumberFormat="1" applyFont="1" applyFill="1" applyBorder="1"/>
    <xf numFmtId="0" fontId="0" fillId="4" borderId="13" xfId="0" applyFill="1" applyBorder="1"/>
    <xf numFmtId="168" fontId="1" fillId="4" borderId="13" xfId="0" applyNumberFormat="1" applyFont="1" applyFill="1" applyBorder="1" applyAlignment="1">
      <alignment horizontal="right"/>
    </xf>
    <xf numFmtId="4" fontId="0" fillId="3" borderId="13" xfId="0" applyNumberFormat="1" applyFill="1" applyBorder="1"/>
    <xf numFmtId="169" fontId="0" fillId="3" borderId="13" xfId="0" applyNumberFormat="1" applyFill="1" applyBorder="1"/>
    <xf numFmtId="173" fontId="0" fillId="3" borderId="13" xfId="0" applyNumberFormat="1" applyFill="1" applyBorder="1"/>
    <xf numFmtId="7" fontId="0" fillId="3" borderId="13" xfId="0" applyNumberFormat="1" applyFill="1" applyBorder="1"/>
    <xf numFmtId="7" fontId="11" fillId="3" borderId="13" xfId="0" applyNumberFormat="1" applyFont="1" applyFill="1" applyBorder="1"/>
    <xf numFmtId="180" fontId="0" fillId="3" borderId="13" xfId="0" applyNumberFormat="1" applyFill="1" applyBorder="1"/>
    <xf numFmtId="176" fontId="1" fillId="3" borderId="13" xfId="0" applyNumberFormat="1" applyFont="1" applyFill="1" applyBorder="1"/>
    <xf numFmtId="181" fontId="0" fillId="0" borderId="13" xfId="0" applyNumberFormat="1" applyBorder="1"/>
    <xf numFmtId="169" fontId="0" fillId="0" borderId="13" xfId="0" applyNumberFormat="1" applyBorder="1"/>
    <xf numFmtId="169" fontId="1" fillId="0" borderId="13" xfId="0" applyNumberFormat="1" applyFont="1" applyBorder="1"/>
    <xf numFmtId="176" fontId="1" fillId="0" borderId="13" xfId="0" applyNumberFormat="1" applyFont="1" applyBorder="1"/>
    <xf numFmtId="173" fontId="1" fillId="0" borderId="19" xfId="0" applyNumberFormat="1" applyFont="1" applyBorder="1"/>
    <xf numFmtId="0" fontId="0" fillId="0" borderId="19" xfId="0" applyBorder="1"/>
    <xf numFmtId="169" fontId="1" fillId="3" borderId="15" xfId="0" applyNumberFormat="1" applyFont="1" applyFill="1" applyBorder="1"/>
    <xf numFmtId="176" fontId="0" fillId="3" borderId="15" xfId="0" applyNumberFormat="1" applyFill="1" applyBorder="1"/>
    <xf numFmtId="37" fontId="0" fillId="3" borderId="6" xfId="0" applyNumberFormat="1" applyFill="1" applyBorder="1"/>
    <xf numFmtId="168" fontId="0" fillId="4" borderId="6" xfId="0" applyNumberFormat="1" applyFill="1" applyBorder="1" applyAlignment="1">
      <alignment horizontal="right"/>
    </xf>
    <xf numFmtId="175" fontId="1" fillId="5" borderId="13" xfId="0" applyNumberFormat="1" applyFont="1" applyFill="1" applyBorder="1"/>
    <xf numFmtId="14" fontId="10" fillId="0" borderId="14" xfId="0" applyNumberFormat="1" applyFont="1" applyBorder="1"/>
    <xf numFmtId="175" fontId="10" fillId="0" borderId="14" xfId="0" applyNumberFormat="1" applyFont="1" applyBorder="1"/>
    <xf numFmtId="175" fontId="10" fillId="0" borderId="20" xfId="0" applyNumberFormat="1" applyFont="1" applyBorder="1"/>
    <xf numFmtId="14" fontId="10" fillId="0" borderId="20" xfId="0" applyNumberFormat="1" applyFont="1" applyBorder="1"/>
    <xf numFmtId="0" fontId="4" fillId="0" borderId="1" xfId="1" applyBorder="1"/>
    <xf numFmtId="168" fontId="1" fillId="4" borderId="6" xfId="0" applyNumberFormat="1" applyFont="1" applyFill="1" applyBorder="1" applyAlignment="1">
      <alignment horizontal="left"/>
    </xf>
    <xf numFmtId="0" fontId="1" fillId="3" borderId="6" xfId="0" applyFont="1" applyFill="1" applyBorder="1" applyAlignment="1">
      <alignment horizontal="right"/>
    </xf>
    <xf numFmtId="176" fontId="0" fillId="3" borderId="13" xfId="0" applyNumberFormat="1" applyFill="1" applyBorder="1"/>
    <xf numFmtId="0" fontId="5" fillId="0" borderId="10" xfId="0" applyFont="1" applyBorder="1" applyAlignment="1">
      <alignment horizontal="left" vertical="center" wrapText="1"/>
    </xf>
    <xf numFmtId="0" fontId="7" fillId="3" borderId="6" xfId="0" applyFont="1" applyFill="1" applyBorder="1"/>
    <xf numFmtId="167" fontId="7" fillId="3" borderId="6" xfId="0" applyNumberFormat="1" applyFont="1" applyFill="1" applyBorder="1" applyAlignment="1">
      <alignment horizontal="right"/>
    </xf>
    <xf numFmtId="0" fontId="8" fillId="3" borderId="6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FF8E5"/>
      <color rgb="FFF0F0F0"/>
      <color rgb="FFFBE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8FCA-4CA0-4F05-882C-4689144ADE98}">
  <dimension ref="A1:AW867"/>
  <sheetViews>
    <sheetView tabSelected="1" workbookViewId="0">
      <selection activeCell="C29" sqref="C29"/>
    </sheetView>
  </sheetViews>
  <sheetFormatPr defaultRowHeight="14.4" x14ac:dyDescent="0.3"/>
  <cols>
    <col min="1" max="1" width="7.44140625" customWidth="1"/>
    <col min="2" max="2" width="9.109375" customWidth="1"/>
    <col min="3" max="3" width="11.77734375" customWidth="1"/>
    <col min="4" max="4" width="11" customWidth="1"/>
    <col min="5" max="5" width="9.109375" customWidth="1"/>
    <col min="6" max="8" width="11.44140625" customWidth="1"/>
    <col min="9" max="10" width="9.109375" customWidth="1"/>
    <col min="11" max="13" width="11.44140625" customWidth="1"/>
    <col min="14" max="15" width="9.109375" customWidth="1"/>
    <col min="16" max="18" width="11.44140625" customWidth="1"/>
    <col min="19" max="19" width="9.109375" customWidth="1"/>
    <col min="20" max="20" width="11.44140625" customWidth="1"/>
    <col min="21" max="21" width="1.5546875" customWidth="1"/>
    <col min="22" max="22" width="1" customWidth="1"/>
    <col min="23" max="25" width="9.109375" customWidth="1"/>
  </cols>
  <sheetData>
    <row r="1" spans="1:42" ht="14.4" customHeight="1" x14ac:dyDescent="0.3">
      <c r="A1" s="18"/>
      <c r="B1" s="18"/>
      <c r="C1" s="19"/>
      <c r="D1" s="19"/>
      <c r="E1" s="19"/>
      <c r="F1" s="19"/>
      <c r="G1" s="19"/>
      <c r="H1" s="20"/>
      <c r="I1" s="20"/>
      <c r="J1" s="19"/>
      <c r="K1" s="19"/>
      <c r="L1" s="19"/>
      <c r="M1" s="19"/>
      <c r="N1" s="18"/>
      <c r="O1" s="18"/>
      <c r="P1" s="19"/>
      <c r="Q1" s="19"/>
      <c r="R1" s="19"/>
      <c r="S1" s="19"/>
      <c r="T1" s="19"/>
      <c r="U1" s="5"/>
      <c r="V1" s="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4.4" customHeight="1" x14ac:dyDescent="0.3">
      <c r="A2" s="7" t="s">
        <v>105</v>
      </c>
      <c r="B2" s="7"/>
      <c r="U2" s="5"/>
      <c r="V2" s="5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ht="14.4" customHeight="1" x14ac:dyDescent="0.3">
      <c r="U3" s="5"/>
      <c r="V3" s="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ht="14.4" customHeight="1" x14ac:dyDescent="0.3">
      <c r="U4" s="5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ht="14.4" customHeight="1" x14ac:dyDescent="0.3">
      <c r="U5" s="5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4.4" customHeigh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5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4.4" customHeight="1" x14ac:dyDescent="0.3">
      <c r="T7" s="17"/>
      <c r="U7" s="10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ht="14.4" customHeight="1" x14ac:dyDescent="0.3">
      <c r="B8" s="21"/>
      <c r="C8" s="21"/>
      <c r="F8" s="22" t="s">
        <v>7</v>
      </c>
      <c r="G8" s="23"/>
      <c r="H8" s="23"/>
      <c r="I8" s="23"/>
      <c r="K8" s="22" t="s">
        <v>8</v>
      </c>
      <c r="L8" s="23"/>
      <c r="M8" s="23"/>
      <c r="N8" s="23"/>
      <c r="P8" s="22" t="s">
        <v>9</v>
      </c>
      <c r="Q8" s="23"/>
      <c r="R8" s="23"/>
      <c r="S8" s="23"/>
      <c r="T8" s="17"/>
      <c r="U8" s="10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ht="14.4" customHeight="1" thickBot="1" x14ac:dyDescent="0.35">
      <c r="B9" s="24" t="s">
        <v>10</v>
      </c>
      <c r="C9" s="25" t="s">
        <v>11</v>
      </c>
      <c r="D9" s="25" t="s">
        <v>12</v>
      </c>
      <c r="E9" s="25"/>
      <c r="F9" s="25" t="s">
        <v>13</v>
      </c>
      <c r="G9" s="25" t="s">
        <v>1</v>
      </c>
      <c r="H9" s="25" t="s">
        <v>4</v>
      </c>
      <c r="I9" s="25" t="s">
        <v>2</v>
      </c>
      <c r="J9" s="25"/>
      <c r="K9" s="25" t="s">
        <v>13</v>
      </c>
      <c r="L9" s="25" t="s">
        <v>1</v>
      </c>
      <c r="M9" s="25" t="s">
        <v>4</v>
      </c>
      <c r="N9" s="25" t="s">
        <v>2</v>
      </c>
      <c r="O9" s="25"/>
      <c r="P9" s="25" t="s">
        <v>13</v>
      </c>
      <c r="Q9" s="25" t="s">
        <v>1</v>
      </c>
      <c r="R9" s="25" t="s">
        <v>4</v>
      </c>
      <c r="S9" s="25" t="s">
        <v>2</v>
      </c>
      <c r="T9" s="26" t="s">
        <v>14</v>
      </c>
      <c r="U9" s="10"/>
      <c r="V9" s="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ht="14.4" customHeight="1" x14ac:dyDescent="0.3">
      <c r="T10" s="17"/>
      <c r="U10" s="10"/>
      <c r="V10" s="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ht="14.4" customHeight="1" x14ac:dyDescent="0.3">
      <c r="B11" s="27" t="str">
        <f>CompsInputs!D$10</f>
        <v>META</v>
      </c>
      <c r="C11" s="28">
        <f>CompsInputs!D21*CompsInputs!D13</f>
        <v>1671933</v>
      </c>
      <c r="D11" s="28">
        <f>CompsInputs!D139+CompsInputs!D131</f>
        <v>1651024</v>
      </c>
      <c r="E11" s="29"/>
      <c r="F11" s="28">
        <f>CompsInputs!D29+CompsInputs!D46-CompsInputs!D63</f>
        <v>212473</v>
      </c>
      <c r="G11" s="28">
        <f>CompsInputs!D42+CompsInputs!D59-CompsInputs!D76</f>
        <v>117428</v>
      </c>
      <c r="H11" s="28">
        <f>CompsInputs!D34+CompsInputs!D51-CompsInputs!D68</f>
        <v>84656</v>
      </c>
      <c r="I11" s="30">
        <f>CompsInputs!D39+CompsInputs!D56-CompsInputs!D73</f>
        <v>26.409985991243964</v>
      </c>
      <c r="K11" s="28">
        <f>CompsInputs!D101</f>
        <v>249400</v>
      </c>
      <c r="L11" s="28">
        <f>CompsInputs!D102</f>
        <v>126800</v>
      </c>
      <c r="M11" s="28">
        <f>CompsInputs!D103</f>
        <v>98500</v>
      </c>
      <c r="N11" s="30">
        <f>CompsInputs!D104</f>
        <v>29.56</v>
      </c>
      <c r="P11" s="28">
        <f>CompsInputs!D110</f>
        <v>301300</v>
      </c>
      <c r="Q11" s="28">
        <f>CompsInputs!D111</f>
        <v>158200</v>
      </c>
      <c r="R11" s="28">
        <f>CompsInputs!D112</f>
        <v>123500</v>
      </c>
      <c r="S11" s="30">
        <f>CompsInputs!D113</f>
        <v>35.229999999999997</v>
      </c>
      <c r="T11" s="31">
        <f>CompsInputs!D118</f>
        <v>0.22500000000000001</v>
      </c>
      <c r="U11" s="10"/>
      <c r="V11" s="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ht="14.4" customHeight="1" x14ac:dyDescent="0.3">
      <c r="B12" s="27" t="str">
        <f>CompsInputs!E$10</f>
        <v>GOOGL</v>
      </c>
      <c r="C12" s="28">
        <f>CompsInputs!E21*CompsInputs!E13</f>
        <v>2372292</v>
      </c>
      <c r="D12" s="28">
        <f>CompsInputs!E139+CompsInputs!E131</f>
        <v>2300296</v>
      </c>
      <c r="E12" s="29"/>
      <c r="F12" s="28">
        <f>CompsInputs!E29+CompsInputs!E46-CompsInputs!E63</f>
        <v>406167</v>
      </c>
      <c r="G12" s="28">
        <f>CompsInputs!E42+CompsInputs!E59-CompsInputs!E76</f>
        <v>146855</v>
      </c>
      <c r="H12" s="28">
        <f>CompsInputs!E34+CompsInputs!E51-CompsInputs!E68</f>
        <v>129805</v>
      </c>
      <c r="I12" s="30">
        <f>CompsInputs!E39+CompsInputs!E56-CompsInputs!E73</f>
        <v>8.9499999999999993</v>
      </c>
      <c r="K12" s="28">
        <f>CompsInputs!E101</f>
        <v>448500</v>
      </c>
      <c r="L12" s="28">
        <f>CompsInputs!E102</f>
        <v>162100</v>
      </c>
      <c r="M12" s="28">
        <f>CompsInputs!E103</f>
        <v>141300</v>
      </c>
      <c r="N12" s="30">
        <f>CompsInputs!E104</f>
        <v>12.45</v>
      </c>
      <c r="P12" s="28">
        <f>CompsInputs!E110</f>
        <v>506800</v>
      </c>
      <c r="Q12" s="28">
        <f>CompsInputs!E111</f>
        <v>188000</v>
      </c>
      <c r="R12" s="28">
        <f>CompsInputs!E112</f>
        <v>163900</v>
      </c>
      <c r="S12" s="30">
        <f>CompsInputs!E113</f>
        <v>14.2</v>
      </c>
      <c r="T12" s="31">
        <f>CompsInputs!E118</f>
        <v>0.182</v>
      </c>
      <c r="U12" s="10"/>
      <c r="V12" s="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ht="14.4" customHeight="1" x14ac:dyDescent="0.3">
      <c r="B13" s="27" t="str">
        <f>CompsInputs!F$10</f>
        <v>SNAP</v>
      </c>
      <c r="C13" s="28">
        <f>CompsInputs!F21*CompsInputs!F13</f>
        <v>21748.5</v>
      </c>
      <c r="D13" s="28">
        <f>CompsInputs!F139+CompsInputs!F131</f>
        <v>22842.5</v>
      </c>
      <c r="E13" s="29"/>
      <c r="F13" s="28">
        <f>CompsInputs!F29+CompsInputs!F46-CompsInputs!F63</f>
        <v>6090</v>
      </c>
      <c r="G13" s="28">
        <f>CompsInputs!F42+CompsInputs!F59-CompsInputs!F76</f>
        <v>684</v>
      </c>
      <c r="H13" s="28">
        <f>CompsInputs!F34+CompsInputs!F51-CompsInputs!F68</f>
        <v>-455</v>
      </c>
      <c r="I13" s="30">
        <f>CompsInputs!F39+CompsInputs!F56-CompsInputs!F73</f>
        <v>-0.25</v>
      </c>
      <c r="K13" s="28">
        <f>CompsInputs!F101</f>
        <v>7250</v>
      </c>
      <c r="L13" s="28">
        <f>CompsInputs!F102</f>
        <v>940</v>
      </c>
      <c r="M13" s="28">
        <f>CompsInputs!F103</f>
        <v>-420</v>
      </c>
      <c r="N13" s="30">
        <f>CompsInputs!F104</f>
        <v>-0.05</v>
      </c>
      <c r="P13" s="28">
        <f>CompsInputs!F110</f>
        <v>8100</v>
      </c>
      <c r="Q13" s="28">
        <f>CompsInputs!F111</f>
        <v>1250</v>
      </c>
      <c r="R13" s="28">
        <f>CompsInputs!F112</f>
        <v>210</v>
      </c>
      <c r="S13" s="30">
        <f>CompsInputs!F113</f>
        <v>0.12</v>
      </c>
      <c r="T13" s="31">
        <f>CompsInputs!F118</f>
        <v>0.24</v>
      </c>
      <c r="U13" s="10"/>
      <c r="V13" s="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ht="14.4" customHeight="1" x14ac:dyDescent="0.3">
      <c r="B14" s="27" t="str">
        <f>CompsInputs!G$10</f>
        <v>MSFT</v>
      </c>
      <c r="C14" s="28">
        <f>CompsInputs!G21*CompsInputs!G13</f>
        <v>3658408</v>
      </c>
      <c r="D14" s="28">
        <f>CompsInputs!G139+CompsInputs!G131</f>
        <v>3616973</v>
      </c>
      <c r="E14" s="29"/>
      <c r="F14" s="28">
        <f>CompsInputs!G29+CompsInputs!G46-CompsInputs!G63</f>
        <v>288533</v>
      </c>
      <c r="G14" s="28">
        <f>CompsInputs!G42+CompsInputs!G59-CompsInputs!G76</f>
        <v>152167</v>
      </c>
      <c r="H14" s="28">
        <f>CompsInputs!G34+CompsInputs!G51-CompsInputs!G68</f>
        <v>131217</v>
      </c>
      <c r="I14" s="30">
        <f>CompsInputs!G39+CompsInputs!G56-CompsInputs!G73</f>
        <v>14.059999999999999</v>
      </c>
      <c r="K14" s="28">
        <f>CompsInputs!G101</f>
        <v>332100</v>
      </c>
      <c r="L14" s="28">
        <f>CompsInputs!G102</f>
        <v>178400</v>
      </c>
      <c r="M14" s="28">
        <f>CompsInputs!G103</f>
        <v>152600</v>
      </c>
      <c r="N14" s="30">
        <f>CompsInputs!G104</f>
        <v>16.8</v>
      </c>
      <c r="P14" s="28">
        <f>CompsInputs!G110</f>
        <v>386700</v>
      </c>
      <c r="Q14" s="28">
        <f>CompsInputs!G111</f>
        <v>208800</v>
      </c>
      <c r="R14" s="28">
        <f>CompsInputs!G112</f>
        <v>179200</v>
      </c>
      <c r="S14" s="30">
        <f>CompsInputs!G113</f>
        <v>19.440000000000001</v>
      </c>
      <c r="T14" s="31">
        <f>CompsInputs!G118</f>
        <v>0.17499999999999999</v>
      </c>
      <c r="U14" s="10"/>
      <c r="V14" s="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ht="14.4" customHeight="1" x14ac:dyDescent="0.3">
      <c r="B15" s="27"/>
      <c r="C15" s="32"/>
      <c r="F15" s="29"/>
      <c r="G15" s="33"/>
      <c r="H15" s="33"/>
      <c r="I15" s="30"/>
      <c r="K15" s="29"/>
      <c r="L15" s="29"/>
      <c r="M15" s="29"/>
      <c r="N15" s="30"/>
      <c r="P15" s="29"/>
      <c r="Q15" s="29"/>
      <c r="R15" s="29"/>
      <c r="S15" s="30"/>
      <c r="T15" s="31"/>
      <c r="U15" s="10"/>
      <c r="V15" s="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ht="14.4" customHeight="1" x14ac:dyDescent="0.3">
      <c r="F16" s="22" t="s">
        <v>7</v>
      </c>
      <c r="G16" s="23"/>
      <c r="H16" s="23"/>
      <c r="I16" s="23"/>
      <c r="K16" s="22" t="s">
        <v>8</v>
      </c>
      <c r="L16" s="23"/>
      <c r="M16" s="23"/>
      <c r="N16" s="23"/>
      <c r="P16" s="22" t="s">
        <v>9</v>
      </c>
      <c r="Q16" s="23"/>
      <c r="R16" s="23"/>
      <c r="S16" s="23"/>
      <c r="T16" s="17"/>
      <c r="U16" s="10"/>
      <c r="V16" s="5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2:49" ht="14.4" customHeight="1" thickBot="1" x14ac:dyDescent="0.35">
      <c r="B17" s="24" t="s">
        <v>10</v>
      </c>
      <c r="C17" s="34"/>
      <c r="D17" s="35"/>
      <c r="E17" s="36"/>
      <c r="F17" s="25" t="s">
        <v>15</v>
      </c>
      <c r="G17" s="132" t="s">
        <v>16</v>
      </c>
      <c r="H17" s="25" t="s">
        <v>17</v>
      </c>
      <c r="I17" s="25" t="s">
        <v>18</v>
      </c>
      <c r="J17" s="25"/>
      <c r="K17" s="25" t="s">
        <v>15</v>
      </c>
      <c r="L17" s="25" t="s">
        <v>16</v>
      </c>
      <c r="M17" s="25" t="s">
        <v>17</v>
      </c>
      <c r="N17" s="25" t="s">
        <v>19</v>
      </c>
      <c r="O17" s="25"/>
      <c r="P17" s="25" t="s">
        <v>15</v>
      </c>
      <c r="Q17" s="25" t="s">
        <v>16</v>
      </c>
      <c r="R17" s="25" t="s">
        <v>17</v>
      </c>
      <c r="S17" s="25" t="s">
        <v>18</v>
      </c>
      <c r="T17" s="26" t="s">
        <v>20</v>
      </c>
      <c r="U17" s="10"/>
      <c r="V17" s="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2:49" ht="14.4" customHeight="1" x14ac:dyDescent="0.3">
      <c r="T18" s="17"/>
      <c r="U18" s="10"/>
      <c r="V18" s="5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2:49" ht="14.4" customHeight="1" x14ac:dyDescent="0.3">
      <c r="B19" s="27" t="str">
        <f>CompsInputs!D$10</f>
        <v>META</v>
      </c>
      <c r="F19" s="37">
        <f>CompsInputs!D142/CompsInputs!D83</f>
        <v>8.2154803075162341</v>
      </c>
      <c r="G19" s="37">
        <f>CompsInputs!D142/CompsInputs!D84</f>
        <v>16.203825656829355</v>
      </c>
      <c r="H19" s="37">
        <f>CompsInputs!D142/CompsInputs!D85</f>
        <v>19.826166316421496</v>
      </c>
      <c r="I19" s="37">
        <f>CompsInputs!D13/CompsInputs!D86</f>
        <v>25.660551931761162</v>
      </c>
      <c r="K19" s="21">
        <f>CompsInputs!D$142/CompsInputs!D101</f>
        <v>6.6199839615076179</v>
      </c>
      <c r="L19" s="21">
        <f>CompsInputs!D$142/CompsInputs!D102</f>
        <v>13.020694006309148</v>
      </c>
      <c r="M19" s="21">
        <f>CompsInputs!D$142/CompsInputs!D103</f>
        <v>16.76166497461929</v>
      </c>
      <c r="N19" s="21">
        <f>CompsInputs!D137/CompsInputs!D104</f>
        <v>22.180649526387008</v>
      </c>
      <c r="P19" s="21">
        <f>CompsInputs!D$142/CompsInputs!D110</f>
        <v>5.4796681048788587</v>
      </c>
      <c r="Q19" s="21">
        <f>CompsInputs!D$142/CompsInputs!D111</f>
        <v>10.436308470290772</v>
      </c>
      <c r="R19" s="21">
        <f>CompsInputs!D$142/CompsInputs!D112</f>
        <v>13.368615384615385</v>
      </c>
      <c r="S19" s="21">
        <f>CompsInputs!D137/CompsInputs!D113</f>
        <v>18.61084303150724</v>
      </c>
      <c r="T19" s="38">
        <f>CompsInputs!D155/(CompsInputs!D118*100)</f>
        <v>0.98580664561720033</v>
      </c>
      <c r="U19" s="10"/>
      <c r="V19" s="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2:49" ht="14.4" customHeight="1" x14ac:dyDescent="0.3">
      <c r="B20" s="27" t="str">
        <f>CompsInputs!E$10</f>
        <v>GOOGL</v>
      </c>
      <c r="F20" s="37">
        <f>CompsInputs!E142/CompsInputs!E83</f>
        <v>5.7102542970340284</v>
      </c>
      <c r="G20" s="37">
        <f>CompsInputs!E142/CompsInputs!E84</f>
        <v>15.702751041026691</v>
      </c>
      <c r="H20" s="37">
        <f>CompsInputs!E142/CompsInputs!E85</f>
        <v>17.826224426534409</v>
      </c>
      <c r="I20" s="37">
        <f>CompsInputs!E13/CompsInputs!E86</f>
        <v>22.850356294536819</v>
      </c>
      <c r="K20" s="21">
        <f>CompsInputs!E$142/CompsInputs!E101</f>
        <v>5.1288651059085844</v>
      </c>
      <c r="L20" s="21">
        <f>CompsInputs!E$142/CompsInputs!E102</f>
        <v>14.19059839605182</v>
      </c>
      <c r="M20" s="21">
        <f>CompsInputs!E$142/CompsInputs!E103</f>
        <v>16.279518754423211</v>
      </c>
      <c r="N20" s="21">
        <f>CompsInputs!E137/CompsInputs!E104</f>
        <v>15.453815261044179</v>
      </c>
      <c r="P20" s="21">
        <f>CompsInputs!E$142/CompsInputs!E110</f>
        <v>4.5388634569850037</v>
      </c>
      <c r="Q20" s="21">
        <f>CompsInputs!E$142/CompsInputs!E111</f>
        <v>12.235617021276596</v>
      </c>
      <c r="R20" s="21">
        <f>CompsInputs!E$142/CompsInputs!E112</f>
        <v>14.034752898108604</v>
      </c>
      <c r="S20" s="21">
        <f>CompsInputs!E137/CompsInputs!E113</f>
        <v>13.549295774647888</v>
      </c>
      <c r="T20" s="38">
        <f>CompsInputs!E155/(CompsInputs!E118*100)</f>
        <v>0.8491107286288011</v>
      </c>
      <c r="U20" s="10"/>
      <c r="V20" s="5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2:49" ht="14.4" customHeight="1" x14ac:dyDescent="0.3">
      <c r="B21" s="27" t="str">
        <f>CompsInputs!F$10</f>
        <v>SNAP</v>
      </c>
      <c r="F21" s="37">
        <f>CompsInputs!F142/CompsInputs!F83</f>
        <v>3.8513741358961391</v>
      </c>
      <c r="G21" s="37">
        <f>CompsInputs!F142/CompsInputs!F84</f>
        <v>33.153120464441216</v>
      </c>
      <c r="H21" s="37">
        <f>CompsInputs!F142/CompsInputs!F85</f>
        <v>-42.93703007518797</v>
      </c>
      <c r="I21" s="37">
        <f>CompsInputs!F13/CompsInputs!F86</f>
        <v>-45</v>
      </c>
      <c r="K21" s="21">
        <f>CompsInputs!F$142/CompsInputs!F101</f>
        <v>3.1506896551724139</v>
      </c>
      <c r="L21" s="21">
        <f>CompsInputs!F$142/CompsInputs!F102</f>
        <v>24.300531914893618</v>
      </c>
      <c r="M21" s="21">
        <f>CompsInputs!F$142/CompsInputs!F103</f>
        <v>-54.386904761904759</v>
      </c>
      <c r="N21" s="21">
        <f>CompsInputs!F137/CompsInputs!F104</f>
        <v>-243</v>
      </c>
      <c r="P21" s="21">
        <f>CompsInputs!F$142/CompsInputs!F110</f>
        <v>2.8200617283950615</v>
      </c>
      <c r="Q21" s="21">
        <f>CompsInputs!F$142/CompsInputs!F111</f>
        <v>18.274000000000001</v>
      </c>
      <c r="R21" s="21">
        <f>CompsInputs!F$142/CompsInputs!F112</f>
        <v>108.77380952380952</v>
      </c>
      <c r="S21" s="21">
        <f>CompsInputs!F137/CompsInputs!F113</f>
        <v>101.25</v>
      </c>
      <c r="T21" s="38">
        <f>CompsInputs!F155/(CompsInputs!F118*100)</f>
        <v>-10.125</v>
      </c>
      <c r="U21" s="10"/>
      <c r="V21" s="5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2:49" ht="14.4" customHeight="1" x14ac:dyDescent="0.3">
      <c r="B22" s="27" t="str">
        <f>CompsInputs!G$10</f>
        <v>MSFT</v>
      </c>
      <c r="F22" s="37">
        <f>CompsInputs!G142/CompsInputs!G83</f>
        <v>11.599889035345129</v>
      </c>
      <c r="G22" s="37">
        <f>CompsInputs!G142/CompsInputs!G84</f>
        <v>21.387779840817437</v>
      </c>
      <c r="H22" s="37">
        <f>CompsInputs!G142/CompsInputs!G85</f>
        <v>25.368914606347538</v>
      </c>
      <c r="I22" s="37">
        <f>CompsInputs!G13/CompsInputs!G86</f>
        <v>29.264173703256937</v>
      </c>
      <c r="K22" s="21">
        <f>CompsInputs!G$142/CompsInputs!G101</f>
        <v>10.891216501053899</v>
      </c>
      <c r="L22" s="21">
        <f>CompsInputs!G$142/CompsInputs!G102</f>
        <v>20.274512331838565</v>
      </c>
      <c r="M22" s="21">
        <f>CompsInputs!G$142/CompsInputs!G103</f>
        <v>23.702313237221492</v>
      </c>
      <c r="N22" s="21">
        <f>CompsInputs!G137/CompsInputs!G104</f>
        <v>28.88095238095238</v>
      </c>
      <c r="P22" s="21">
        <f>CompsInputs!G$142/CompsInputs!G110</f>
        <v>9.3534341867080428</v>
      </c>
      <c r="Q22" s="21">
        <f>CompsInputs!G$142/CompsInputs!G111</f>
        <v>17.322667624521074</v>
      </c>
      <c r="R22" s="21">
        <f>CompsInputs!G$142/CompsInputs!G112</f>
        <v>20.184001116071428</v>
      </c>
      <c r="S22" s="21">
        <f>CompsInputs!G137/CompsInputs!G113</f>
        <v>24.958847736625511</v>
      </c>
      <c r="T22" s="38">
        <f>CompsInputs!G155/(CompsInputs!G118*100)</f>
        <v>1.6503401360544216</v>
      </c>
      <c r="U22" s="10"/>
      <c r="V22" s="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2:49" ht="14.4" customHeight="1" x14ac:dyDescent="0.3">
      <c r="T23" s="17"/>
      <c r="U23" s="10"/>
      <c r="V23" s="5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2:49" ht="14.4" customHeight="1" x14ac:dyDescent="0.3">
      <c r="E24" s="133" t="s">
        <v>21</v>
      </c>
      <c r="F24" s="134">
        <f>MAX(F19:F22)</f>
        <v>11.599889035345129</v>
      </c>
      <c r="G24" s="134">
        <f t="shared" ref="G24:I24" si="0">MAX(G19:G22)</f>
        <v>33.153120464441216</v>
      </c>
      <c r="H24" s="134">
        <f t="shared" si="0"/>
        <v>25.368914606347538</v>
      </c>
      <c r="I24" s="134">
        <f t="shared" si="0"/>
        <v>29.264173703256937</v>
      </c>
      <c r="J24" s="134"/>
      <c r="K24" s="134">
        <f t="shared" ref="K24:N24" si="1">MAX(K19:K22)</f>
        <v>10.891216501053899</v>
      </c>
      <c r="L24" s="134">
        <f t="shared" si="1"/>
        <v>24.300531914893618</v>
      </c>
      <c r="M24" s="134">
        <f t="shared" si="1"/>
        <v>23.702313237221492</v>
      </c>
      <c r="N24" s="134">
        <f t="shared" si="1"/>
        <v>28.88095238095238</v>
      </c>
      <c r="O24" s="134"/>
      <c r="P24" s="134">
        <f t="shared" ref="P24:T24" si="2">MAX(P19:P22)</f>
        <v>9.3534341867080428</v>
      </c>
      <c r="Q24" s="134">
        <f t="shared" si="2"/>
        <v>18.274000000000001</v>
      </c>
      <c r="R24" s="134">
        <f t="shared" si="2"/>
        <v>108.77380952380952</v>
      </c>
      <c r="S24" s="134">
        <f t="shared" si="2"/>
        <v>101.25</v>
      </c>
      <c r="T24" s="134">
        <f t="shared" si="2"/>
        <v>1.6503401360544216</v>
      </c>
      <c r="U24" s="10"/>
      <c r="V24" s="5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2:49" ht="14.4" customHeight="1" x14ac:dyDescent="0.3">
      <c r="E25" s="133" t="s">
        <v>22</v>
      </c>
      <c r="F25" s="134">
        <f>MIN(F19:F22)</f>
        <v>3.8513741358961391</v>
      </c>
      <c r="G25" s="134">
        <f t="shared" ref="G25:T25" si="3">MIN(G19:G22)</f>
        <v>15.702751041026691</v>
      </c>
      <c r="H25" s="134">
        <f t="shared" si="3"/>
        <v>-42.93703007518797</v>
      </c>
      <c r="I25" s="134">
        <f t="shared" si="3"/>
        <v>-45</v>
      </c>
      <c r="J25" s="134"/>
      <c r="K25" s="134">
        <f t="shared" si="3"/>
        <v>3.1506896551724139</v>
      </c>
      <c r="L25" s="134">
        <f t="shared" si="3"/>
        <v>13.020694006309148</v>
      </c>
      <c r="M25" s="134">
        <f t="shared" si="3"/>
        <v>-54.386904761904759</v>
      </c>
      <c r="N25" s="134">
        <f t="shared" si="3"/>
        <v>-243</v>
      </c>
      <c r="O25" s="134"/>
      <c r="P25" s="134">
        <f t="shared" si="3"/>
        <v>2.8200617283950615</v>
      </c>
      <c r="Q25" s="134">
        <f t="shared" si="3"/>
        <v>10.436308470290772</v>
      </c>
      <c r="R25" s="134">
        <f t="shared" si="3"/>
        <v>13.368615384615385</v>
      </c>
      <c r="S25" s="134">
        <f t="shared" si="3"/>
        <v>13.549295774647888</v>
      </c>
      <c r="T25" s="134">
        <f t="shared" si="3"/>
        <v>-10.125</v>
      </c>
      <c r="U25" s="10"/>
      <c r="V25" s="5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2:49" ht="14.4" customHeight="1" x14ac:dyDescent="0.3">
      <c r="E26" s="135" t="s">
        <v>23</v>
      </c>
      <c r="F26" s="134">
        <f>MEDIAN(F19:F22)</f>
        <v>6.9628673022751313</v>
      </c>
      <c r="G26" s="134">
        <f t="shared" ref="G26:T26" si="4">MEDIAN(G19:G22)</f>
        <v>18.795802748823398</v>
      </c>
      <c r="H26" s="134">
        <f t="shared" si="4"/>
        <v>18.826195371477951</v>
      </c>
      <c r="I26" s="134">
        <f t="shared" si="4"/>
        <v>24.255454113148993</v>
      </c>
      <c r="J26" s="134"/>
      <c r="K26" s="134">
        <f>MEDIAN(K19:K22)</f>
        <v>5.8744245337081011</v>
      </c>
      <c r="L26" s="134">
        <f t="shared" si="4"/>
        <v>17.232555363945192</v>
      </c>
      <c r="M26" s="134">
        <f t="shared" si="4"/>
        <v>16.520591864521251</v>
      </c>
      <c r="N26" s="134">
        <f t="shared" si="4"/>
        <v>18.817232393715592</v>
      </c>
      <c r="O26" s="134"/>
      <c r="P26" s="134">
        <f t="shared" si="4"/>
        <v>5.0092657809319316</v>
      </c>
      <c r="Q26" s="134">
        <f t="shared" si="4"/>
        <v>14.779142322898835</v>
      </c>
      <c r="R26" s="134">
        <f t="shared" si="4"/>
        <v>17.109377007090018</v>
      </c>
      <c r="S26" s="134">
        <f t="shared" si="4"/>
        <v>21.784845384066376</v>
      </c>
      <c r="T26" s="134">
        <f t="shared" si="4"/>
        <v>0.91745868712300072</v>
      </c>
      <c r="U26" s="10"/>
      <c r="V26" s="5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2:49" ht="14.4" customHeight="1" x14ac:dyDescent="0.3">
      <c r="E27" s="133" t="s">
        <v>24</v>
      </c>
      <c r="F27" s="134">
        <f>AVERAGE(F19:F22)</f>
        <v>7.3442494439478825</v>
      </c>
      <c r="G27" s="134">
        <f t="shared" ref="G27:T27" si="5">AVERAGE(G19:G22)</f>
        <v>21.611869250778675</v>
      </c>
      <c r="H27" s="134">
        <f t="shared" si="5"/>
        <v>5.0210688185288674</v>
      </c>
      <c r="I27" s="134">
        <f t="shared" si="5"/>
        <v>8.1937704823887305</v>
      </c>
      <c r="J27" s="134"/>
      <c r="K27" s="134">
        <f t="shared" si="5"/>
        <v>6.4476888059106283</v>
      </c>
      <c r="L27" s="134">
        <f t="shared" si="5"/>
        <v>17.94658416227329</v>
      </c>
      <c r="M27" s="134">
        <f t="shared" si="5"/>
        <v>0.58914805108980861</v>
      </c>
      <c r="N27" s="134">
        <f t="shared" si="5"/>
        <v>-44.121145707904112</v>
      </c>
      <c r="O27" s="134"/>
      <c r="P27" s="134">
        <f t="shared" si="5"/>
        <v>5.5480068692417417</v>
      </c>
      <c r="Q27" s="134">
        <f t="shared" si="5"/>
        <v>14.56714827902211</v>
      </c>
      <c r="R27" s="134">
        <f t="shared" si="5"/>
        <v>39.090294730651237</v>
      </c>
      <c r="S27" s="134">
        <f t="shared" si="5"/>
        <v>39.592246635695162</v>
      </c>
      <c r="T27" s="134">
        <f t="shared" si="5"/>
        <v>-1.659935622424894</v>
      </c>
      <c r="U27" s="10"/>
      <c r="V27" s="5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2:49" ht="14.4" customHeight="1" x14ac:dyDescent="0.3">
      <c r="B28" t="str">
        <f>CompsInputs!$D$10</f>
        <v>META</v>
      </c>
      <c r="E28" s="133" t="s">
        <v>25</v>
      </c>
      <c r="F28" s="134">
        <f>F19</f>
        <v>8.2154803075162341</v>
      </c>
      <c r="G28" s="134">
        <f>G19</f>
        <v>16.203825656829355</v>
      </c>
      <c r="H28" s="134">
        <f>H19</f>
        <v>19.826166316421496</v>
      </c>
      <c r="I28" s="134">
        <f>I19</f>
        <v>25.660551931761162</v>
      </c>
      <c r="J28" s="134"/>
      <c r="K28" s="134">
        <f>K19</f>
        <v>6.6199839615076179</v>
      </c>
      <c r="L28" s="134">
        <f>L19</f>
        <v>13.020694006309148</v>
      </c>
      <c r="M28" s="134">
        <f>M19</f>
        <v>16.76166497461929</v>
      </c>
      <c r="N28" s="134">
        <f>N19</f>
        <v>22.180649526387008</v>
      </c>
      <c r="O28" s="134"/>
      <c r="P28" s="134">
        <f>P19</f>
        <v>5.4796681048788587</v>
      </c>
      <c r="Q28" s="134">
        <f>Q19</f>
        <v>10.436308470290772</v>
      </c>
      <c r="R28" s="134">
        <f>R19</f>
        <v>13.368615384615385</v>
      </c>
      <c r="S28" s="134">
        <f>S19</f>
        <v>18.61084303150724</v>
      </c>
      <c r="T28" s="134">
        <f>T19</f>
        <v>0.98580664561720033</v>
      </c>
      <c r="U28" s="10"/>
      <c r="V28" s="5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2:49" ht="14.4" customHeight="1" x14ac:dyDescent="0.3">
      <c r="T29" s="17"/>
      <c r="U29" s="10"/>
      <c r="V29" s="5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2:49" ht="14.4" customHeight="1" x14ac:dyDescent="0.3">
      <c r="T30" s="17"/>
      <c r="U30" s="10"/>
      <c r="V30" s="5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2:49" ht="14.4" customHeight="1" x14ac:dyDescent="0.3">
      <c r="T31" s="17"/>
      <c r="U31" s="10"/>
      <c r="V31" s="5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2:49" x14ac:dyDescent="0.3">
      <c r="O32" s="39"/>
      <c r="T32" s="17"/>
      <c r="U32" s="4"/>
      <c r="V32" s="5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ht="6.7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ht="14.4" customHeight="1" x14ac:dyDescent="0.3">
      <c r="A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9" ht="14.4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9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49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49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49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49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49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49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49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49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49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49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49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49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W302" s="4"/>
      <c r="X302" s="4"/>
      <c r="Y302" s="4"/>
    </row>
    <row r="303" spans="1:25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W303" s="4"/>
      <c r="X303" s="4"/>
      <c r="Y303" s="4"/>
    </row>
    <row r="304" spans="1:25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W304" s="4"/>
      <c r="X304" s="4"/>
      <c r="Y304" s="4"/>
    </row>
    <row r="305" spans="1:25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W305" s="4"/>
      <c r="X305" s="4"/>
      <c r="Y305" s="4"/>
    </row>
    <row r="306" spans="1:25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W306" s="4"/>
      <c r="X306" s="4"/>
      <c r="Y306" s="4"/>
    </row>
    <row r="307" spans="1:25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W307" s="4"/>
      <c r="X307" s="4"/>
      <c r="Y307" s="4"/>
    </row>
    <row r="308" spans="1:25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W308" s="4"/>
      <c r="X308" s="4"/>
      <c r="Y308" s="4"/>
    </row>
    <row r="309" spans="1:25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W309" s="4"/>
      <c r="X309" s="4"/>
      <c r="Y309" s="4"/>
    </row>
    <row r="310" spans="1:25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W310" s="4"/>
      <c r="X310" s="4"/>
      <c r="Y310" s="4"/>
    </row>
    <row r="311" spans="1:25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W311" s="4"/>
      <c r="X311" s="4"/>
      <c r="Y311" s="4"/>
    </row>
    <row r="312" spans="1:25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W312" s="4"/>
      <c r="X312" s="4"/>
      <c r="Y312" s="4"/>
    </row>
    <row r="313" spans="1:25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W313" s="4"/>
      <c r="X313" s="4"/>
      <c r="Y313" s="4"/>
    </row>
    <row r="314" spans="1:25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W314" s="4"/>
      <c r="X314" s="4"/>
      <c r="Y314" s="4"/>
    </row>
    <row r="315" spans="1:25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W315" s="4"/>
      <c r="X315" s="4"/>
      <c r="Y315" s="4"/>
    </row>
    <row r="316" spans="1:25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W316" s="4"/>
      <c r="X316" s="4"/>
      <c r="Y316" s="4"/>
    </row>
    <row r="317" spans="1:25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W317" s="4"/>
      <c r="X317" s="4"/>
      <c r="Y317" s="4"/>
    </row>
    <row r="318" spans="1:25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W318" s="4"/>
      <c r="X318" s="4"/>
      <c r="Y318" s="4"/>
    </row>
    <row r="319" spans="1:25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W319" s="4"/>
      <c r="X319" s="4"/>
      <c r="Y319" s="4"/>
    </row>
    <row r="320" spans="1:25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W320" s="4"/>
      <c r="X320" s="4"/>
      <c r="Y320" s="4"/>
    </row>
    <row r="321" spans="1:25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W321" s="4"/>
      <c r="X321" s="4"/>
      <c r="Y321" s="4"/>
    </row>
    <row r="322" spans="1:25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W322" s="4"/>
      <c r="X322" s="4"/>
      <c r="Y322" s="4"/>
    </row>
    <row r="323" spans="1:25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W323" s="4"/>
      <c r="X323" s="4"/>
      <c r="Y323" s="4"/>
    </row>
    <row r="324" spans="1:25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W324" s="4"/>
      <c r="X324" s="4"/>
      <c r="Y324" s="4"/>
    </row>
    <row r="325" spans="1:25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W325" s="4"/>
      <c r="X325" s="4"/>
      <c r="Y325" s="4"/>
    </row>
    <row r="326" spans="1:25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W326" s="4"/>
      <c r="X326" s="4"/>
      <c r="Y326" s="4"/>
    </row>
    <row r="327" spans="1:25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W327" s="4"/>
      <c r="X327" s="4"/>
      <c r="Y327" s="4"/>
    </row>
    <row r="328" spans="1:25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W328" s="4"/>
      <c r="X328" s="4"/>
      <c r="Y328" s="4"/>
    </row>
    <row r="329" spans="1:25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W329" s="4"/>
      <c r="X329" s="4"/>
      <c r="Y329" s="4"/>
    </row>
    <row r="330" spans="1:25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W330" s="4"/>
      <c r="X330" s="4"/>
      <c r="Y330" s="4"/>
    </row>
    <row r="331" spans="1:25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W331" s="4"/>
      <c r="X331" s="4"/>
      <c r="Y331" s="4"/>
    </row>
    <row r="332" spans="1:25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W332" s="4"/>
      <c r="X332" s="4"/>
      <c r="Y332" s="4"/>
    </row>
    <row r="333" spans="1:25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W333" s="4"/>
      <c r="X333" s="4"/>
      <c r="Y333" s="4"/>
    </row>
    <row r="334" spans="1:25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W334" s="4"/>
      <c r="X334" s="4"/>
      <c r="Y334" s="4"/>
    </row>
    <row r="335" spans="1:25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W335" s="4"/>
      <c r="X335" s="4"/>
      <c r="Y335" s="4"/>
    </row>
    <row r="336" spans="1:25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W336" s="4"/>
      <c r="X336" s="4"/>
      <c r="Y336" s="4"/>
    </row>
    <row r="337" spans="1:25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W337" s="4"/>
      <c r="X337" s="4"/>
      <c r="Y337" s="4"/>
    </row>
    <row r="338" spans="1:25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W338" s="4"/>
      <c r="X338" s="4"/>
      <c r="Y338" s="4"/>
    </row>
    <row r="339" spans="1:25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W339" s="4"/>
      <c r="X339" s="4"/>
      <c r="Y339" s="4"/>
    </row>
    <row r="340" spans="1:25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W340" s="4"/>
      <c r="X340" s="4"/>
      <c r="Y340" s="4"/>
    </row>
    <row r="341" spans="1:25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W341" s="4"/>
      <c r="X341" s="4"/>
      <c r="Y341" s="4"/>
    </row>
    <row r="342" spans="1:25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W342" s="4"/>
      <c r="X342" s="4"/>
      <c r="Y342" s="4"/>
    </row>
    <row r="343" spans="1:25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W343" s="4"/>
      <c r="X343" s="4"/>
      <c r="Y343" s="4"/>
    </row>
    <row r="344" spans="1:25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W344" s="4"/>
      <c r="X344" s="4"/>
      <c r="Y344" s="4"/>
    </row>
    <row r="345" spans="1:25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W345" s="4"/>
      <c r="X345" s="4"/>
      <c r="Y345" s="4"/>
    </row>
    <row r="346" spans="1:25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W346" s="4"/>
      <c r="X346" s="4"/>
      <c r="Y346" s="4"/>
    </row>
    <row r="347" spans="1:25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W347" s="4"/>
      <c r="X347" s="4"/>
      <c r="Y347" s="4"/>
    </row>
    <row r="348" spans="1:25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W348" s="4"/>
      <c r="X348" s="4"/>
      <c r="Y348" s="4"/>
    </row>
    <row r="349" spans="1:25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W349" s="4"/>
      <c r="X349" s="4"/>
      <c r="Y349" s="4"/>
    </row>
    <row r="350" spans="1:25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W350" s="4"/>
      <c r="X350" s="4"/>
      <c r="Y350" s="4"/>
    </row>
    <row r="351" spans="1:25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W351" s="4"/>
      <c r="X351" s="4"/>
      <c r="Y351" s="4"/>
    </row>
    <row r="352" spans="1:25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W352" s="4"/>
      <c r="X352" s="4"/>
      <c r="Y352" s="4"/>
    </row>
    <row r="353" spans="1:25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W353" s="4"/>
      <c r="X353" s="4"/>
      <c r="Y353" s="4"/>
    </row>
    <row r="354" spans="1:25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W354" s="4"/>
      <c r="X354" s="4"/>
      <c r="Y354" s="4"/>
    </row>
    <row r="355" spans="1:25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W355" s="4"/>
      <c r="X355" s="4"/>
      <c r="Y355" s="4"/>
    </row>
    <row r="356" spans="1:25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W356" s="4"/>
      <c r="X356" s="4"/>
      <c r="Y356" s="4"/>
    </row>
    <row r="357" spans="1:25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W357" s="4"/>
      <c r="X357" s="4"/>
      <c r="Y357" s="4"/>
    </row>
    <row r="358" spans="1:25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W358" s="4"/>
      <c r="X358" s="4"/>
      <c r="Y358" s="4"/>
    </row>
    <row r="359" spans="1:25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W359" s="4"/>
      <c r="X359" s="4"/>
      <c r="Y359" s="4"/>
    </row>
    <row r="360" spans="1:25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W360" s="4"/>
      <c r="X360" s="4"/>
      <c r="Y360" s="4"/>
    </row>
    <row r="361" spans="1:25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W361" s="4"/>
      <c r="X361" s="4"/>
      <c r="Y361" s="4"/>
    </row>
    <row r="362" spans="1:25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W362" s="4"/>
      <c r="X362" s="4"/>
      <c r="Y362" s="4"/>
    </row>
    <row r="363" spans="1:25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W363" s="4"/>
      <c r="X363" s="4"/>
      <c r="Y363" s="4"/>
    </row>
    <row r="364" spans="1:25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W364" s="4"/>
      <c r="X364" s="4"/>
      <c r="Y364" s="4"/>
    </row>
    <row r="365" spans="1:25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W365" s="4"/>
      <c r="X365" s="4"/>
      <c r="Y365" s="4"/>
    </row>
    <row r="366" spans="1:25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W366" s="4"/>
      <c r="X366" s="4"/>
      <c r="Y366" s="4"/>
    </row>
    <row r="367" spans="1:25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W367" s="4"/>
      <c r="X367" s="4"/>
      <c r="Y367" s="4"/>
    </row>
    <row r="368" spans="1:25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W368" s="4"/>
      <c r="X368" s="4"/>
      <c r="Y368" s="4"/>
    </row>
    <row r="369" spans="1:25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W369" s="4"/>
      <c r="X369" s="4"/>
      <c r="Y369" s="4"/>
    </row>
    <row r="370" spans="1:25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W370" s="4"/>
      <c r="X370" s="4"/>
      <c r="Y370" s="4"/>
    </row>
    <row r="371" spans="1:25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W371" s="4"/>
      <c r="X371" s="4"/>
      <c r="Y371" s="4"/>
    </row>
    <row r="372" spans="1:25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W372" s="4"/>
      <c r="X372" s="4"/>
      <c r="Y372" s="4"/>
    </row>
    <row r="373" spans="1:25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W373" s="4"/>
      <c r="X373" s="4"/>
      <c r="Y373" s="4"/>
    </row>
    <row r="374" spans="1:25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W374" s="4"/>
      <c r="X374" s="4"/>
      <c r="Y374" s="4"/>
    </row>
    <row r="375" spans="1:25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W375" s="4"/>
      <c r="X375" s="4"/>
      <c r="Y375" s="4"/>
    </row>
    <row r="376" spans="1:25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W376" s="4"/>
      <c r="X376" s="4"/>
      <c r="Y376" s="4"/>
    </row>
    <row r="377" spans="1:25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W377" s="4"/>
      <c r="X377" s="4"/>
      <c r="Y377" s="4"/>
    </row>
    <row r="378" spans="1:25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W378" s="4"/>
      <c r="X378" s="4"/>
      <c r="Y378" s="4"/>
    </row>
    <row r="379" spans="1:25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W379" s="4"/>
      <c r="X379" s="4"/>
      <c r="Y379" s="4"/>
    </row>
    <row r="380" spans="1:25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W380" s="4"/>
      <c r="X380" s="4"/>
      <c r="Y380" s="4"/>
    </row>
    <row r="381" spans="1:25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W381" s="4"/>
      <c r="X381" s="4"/>
      <c r="Y381" s="4"/>
    </row>
    <row r="382" spans="1:25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W382" s="4"/>
      <c r="X382" s="4"/>
      <c r="Y382" s="4"/>
    </row>
    <row r="383" spans="1:25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W383" s="4"/>
      <c r="X383" s="4"/>
      <c r="Y383" s="4"/>
    </row>
    <row r="384" spans="1:25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W384" s="4"/>
      <c r="X384" s="4"/>
      <c r="Y384" s="4"/>
    </row>
    <row r="385" spans="1:25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W385" s="4"/>
      <c r="X385" s="4"/>
      <c r="Y385" s="4"/>
    </row>
    <row r="386" spans="1:25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W386" s="4"/>
      <c r="X386" s="4"/>
      <c r="Y386" s="4"/>
    </row>
    <row r="387" spans="1:25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W387" s="4"/>
      <c r="X387" s="4"/>
      <c r="Y387" s="4"/>
    </row>
    <row r="388" spans="1:25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W388" s="4"/>
      <c r="X388" s="4"/>
      <c r="Y388" s="4"/>
    </row>
    <row r="389" spans="1:25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W389" s="4"/>
      <c r="X389" s="4"/>
      <c r="Y389" s="4"/>
    </row>
    <row r="390" spans="1:25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W390" s="4"/>
      <c r="X390" s="4"/>
      <c r="Y390" s="4"/>
    </row>
    <row r="391" spans="1:25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W391" s="4"/>
      <c r="X391" s="4"/>
      <c r="Y391" s="4"/>
    </row>
    <row r="392" spans="1:25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W392" s="4"/>
      <c r="X392" s="4"/>
      <c r="Y392" s="4"/>
    </row>
    <row r="393" spans="1:25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W393" s="4"/>
      <c r="X393" s="4"/>
      <c r="Y393" s="4"/>
    </row>
    <row r="394" spans="1:25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W394" s="4"/>
      <c r="X394" s="4"/>
      <c r="Y394" s="4"/>
    </row>
    <row r="395" spans="1:25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W395" s="4"/>
      <c r="X395" s="4"/>
      <c r="Y395" s="4"/>
    </row>
    <row r="396" spans="1:25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W396" s="4"/>
      <c r="X396" s="4"/>
      <c r="Y396" s="4"/>
    </row>
    <row r="397" spans="1:25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W397" s="4"/>
      <c r="X397" s="4"/>
      <c r="Y397" s="4"/>
    </row>
    <row r="398" spans="1:25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W398" s="4"/>
      <c r="X398" s="4"/>
      <c r="Y398" s="4"/>
    </row>
    <row r="399" spans="1:25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W399" s="4"/>
      <c r="X399" s="4"/>
      <c r="Y399" s="4"/>
    </row>
    <row r="400" spans="1:25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W400" s="4"/>
      <c r="X400" s="4"/>
      <c r="Y400" s="4"/>
    </row>
    <row r="401" spans="1:25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W401" s="4"/>
      <c r="X401" s="4"/>
      <c r="Y401" s="4"/>
    </row>
    <row r="402" spans="1:25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W402" s="4"/>
      <c r="X402" s="4"/>
      <c r="Y402" s="4"/>
    </row>
    <row r="403" spans="1:25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W403" s="4"/>
      <c r="X403" s="4"/>
      <c r="Y403" s="4"/>
    </row>
    <row r="404" spans="1:25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W404" s="4"/>
      <c r="X404" s="4"/>
      <c r="Y404" s="4"/>
    </row>
    <row r="405" spans="1:25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W405" s="4"/>
      <c r="X405" s="4"/>
      <c r="Y405" s="4"/>
    </row>
    <row r="406" spans="1:25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W406" s="4"/>
      <c r="X406" s="4"/>
      <c r="Y406" s="4"/>
    </row>
    <row r="407" spans="1:25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W407" s="4"/>
      <c r="X407" s="4"/>
      <c r="Y407" s="4"/>
    </row>
    <row r="408" spans="1:25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W408" s="4"/>
      <c r="X408" s="4"/>
      <c r="Y408" s="4"/>
    </row>
    <row r="409" spans="1:25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W409" s="4"/>
      <c r="X409" s="4"/>
      <c r="Y409" s="4"/>
    </row>
    <row r="410" spans="1:25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W410" s="4"/>
      <c r="X410" s="4"/>
      <c r="Y410" s="4"/>
    </row>
    <row r="411" spans="1:25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W411" s="4"/>
      <c r="X411" s="4"/>
      <c r="Y411" s="4"/>
    </row>
    <row r="412" spans="1:25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W412" s="4"/>
      <c r="X412" s="4"/>
      <c r="Y412" s="4"/>
    </row>
    <row r="413" spans="1:25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W413" s="4"/>
      <c r="X413" s="4"/>
      <c r="Y413" s="4"/>
    </row>
    <row r="414" spans="1:25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W414" s="4"/>
      <c r="X414" s="4"/>
      <c r="Y414" s="4"/>
    </row>
    <row r="415" spans="1:25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W415" s="4"/>
      <c r="X415" s="4"/>
      <c r="Y415" s="4"/>
    </row>
    <row r="416" spans="1:25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W416" s="4"/>
      <c r="X416" s="4"/>
      <c r="Y416" s="4"/>
    </row>
    <row r="417" spans="1:25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W417" s="4"/>
      <c r="X417" s="4"/>
      <c r="Y417" s="4"/>
    </row>
    <row r="418" spans="1:25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W418" s="4"/>
      <c r="X418" s="4"/>
      <c r="Y418" s="4"/>
    </row>
    <row r="419" spans="1:25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W419" s="4"/>
      <c r="X419" s="4"/>
      <c r="Y419" s="4"/>
    </row>
    <row r="420" spans="1:25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W420" s="4"/>
      <c r="X420" s="4"/>
      <c r="Y420" s="4"/>
    </row>
    <row r="421" spans="1:25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W421" s="4"/>
      <c r="X421" s="4"/>
      <c r="Y421" s="4"/>
    </row>
    <row r="422" spans="1:25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W422" s="4"/>
      <c r="X422" s="4"/>
      <c r="Y422" s="4"/>
    </row>
    <row r="423" spans="1:25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W423" s="4"/>
      <c r="X423" s="4"/>
      <c r="Y423" s="4"/>
    </row>
    <row r="424" spans="1:25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W424" s="4"/>
      <c r="X424" s="4"/>
      <c r="Y424" s="4"/>
    </row>
    <row r="425" spans="1:25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W425" s="4"/>
      <c r="X425" s="4"/>
      <c r="Y425" s="4"/>
    </row>
    <row r="426" spans="1:25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W426" s="4"/>
      <c r="X426" s="4"/>
      <c r="Y426" s="4"/>
    </row>
    <row r="427" spans="1:25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W427" s="4"/>
      <c r="X427" s="4"/>
      <c r="Y427" s="4"/>
    </row>
    <row r="428" spans="1:25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W428" s="4"/>
      <c r="X428" s="4"/>
      <c r="Y428" s="4"/>
    </row>
    <row r="429" spans="1:25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W429" s="4"/>
      <c r="X429" s="4"/>
      <c r="Y429" s="4"/>
    </row>
    <row r="430" spans="1:25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W430" s="4"/>
      <c r="X430" s="4"/>
      <c r="Y430" s="4"/>
    </row>
    <row r="431" spans="1:25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W431" s="4"/>
      <c r="X431" s="4"/>
      <c r="Y431" s="4"/>
    </row>
    <row r="432" spans="1:25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W432" s="4"/>
      <c r="X432" s="4"/>
      <c r="Y432" s="4"/>
    </row>
    <row r="433" spans="1:25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W433" s="4"/>
      <c r="X433" s="4"/>
      <c r="Y433" s="4"/>
    </row>
    <row r="434" spans="1:25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W434" s="4"/>
      <c r="X434" s="4"/>
      <c r="Y434" s="4"/>
    </row>
    <row r="435" spans="1:25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W435" s="4"/>
      <c r="X435" s="4"/>
      <c r="Y435" s="4"/>
    </row>
    <row r="436" spans="1:25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W436" s="4"/>
      <c r="X436" s="4"/>
      <c r="Y436" s="4"/>
    </row>
    <row r="437" spans="1:25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W437" s="4"/>
      <c r="X437" s="4"/>
      <c r="Y437" s="4"/>
    </row>
    <row r="438" spans="1:25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W438" s="4"/>
      <c r="X438" s="4"/>
      <c r="Y438" s="4"/>
    </row>
    <row r="439" spans="1:25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W439" s="4"/>
      <c r="X439" s="4"/>
      <c r="Y439" s="4"/>
    </row>
    <row r="440" spans="1:25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W440" s="4"/>
      <c r="X440" s="4"/>
      <c r="Y440" s="4"/>
    </row>
    <row r="441" spans="1:25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W441" s="4"/>
      <c r="X441" s="4"/>
      <c r="Y441" s="4"/>
    </row>
    <row r="442" spans="1:25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W442" s="4"/>
      <c r="X442" s="4"/>
      <c r="Y442" s="4"/>
    </row>
    <row r="443" spans="1:25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W443" s="4"/>
      <c r="X443" s="4"/>
      <c r="Y443" s="4"/>
    </row>
    <row r="444" spans="1:25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W444" s="4"/>
      <c r="X444" s="4"/>
      <c r="Y444" s="4"/>
    </row>
    <row r="445" spans="1:25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W445" s="4"/>
      <c r="X445" s="4"/>
      <c r="Y445" s="4"/>
    </row>
    <row r="446" spans="1:25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W446" s="4"/>
      <c r="X446" s="4"/>
      <c r="Y446" s="4"/>
    </row>
    <row r="447" spans="1:25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W447" s="4"/>
      <c r="X447" s="4"/>
      <c r="Y447" s="4"/>
    </row>
    <row r="448" spans="1:25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W448" s="4"/>
      <c r="X448" s="4"/>
      <c r="Y448" s="4"/>
    </row>
    <row r="449" spans="1:25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W449" s="4"/>
      <c r="X449" s="4"/>
      <c r="Y449" s="4"/>
    </row>
    <row r="450" spans="1:25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W450" s="4"/>
      <c r="X450" s="4"/>
      <c r="Y450" s="4"/>
    </row>
    <row r="451" spans="1:25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W451" s="4"/>
      <c r="X451" s="4"/>
      <c r="Y451" s="4"/>
    </row>
    <row r="452" spans="1:25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W452" s="4"/>
      <c r="X452" s="4"/>
      <c r="Y452" s="4"/>
    </row>
    <row r="453" spans="1:25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W453" s="4"/>
      <c r="X453" s="4"/>
      <c r="Y453" s="4"/>
    </row>
    <row r="454" spans="1:25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W454" s="4"/>
      <c r="X454" s="4"/>
      <c r="Y454" s="4"/>
    </row>
    <row r="455" spans="1:25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W455" s="4"/>
      <c r="X455" s="4"/>
      <c r="Y455" s="4"/>
    </row>
    <row r="456" spans="1:25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W456" s="4"/>
      <c r="X456" s="4"/>
      <c r="Y456" s="4"/>
    </row>
    <row r="457" spans="1:25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W457" s="4"/>
      <c r="X457" s="4"/>
      <c r="Y457" s="4"/>
    </row>
    <row r="458" spans="1:25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W458" s="4"/>
      <c r="X458" s="4"/>
      <c r="Y458" s="4"/>
    </row>
    <row r="459" spans="1:25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W459" s="4"/>
      <c r="X459" s="4"/>
      <c r="Y459" s="4"/>
    </row>
    <row r="460" spans="1:25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W460" s="4"/>
      <c r="X460" s="4"/>
      <c r="Y460" s="4"/>
    </row>
    <row r="461" spans="1:25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W461" s="4"/>
      <c r="X461" s="4"/>
      <c r="Y461" s="4"/>
    </row>
    <row r="462" spans="1:25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W462" s="4"/>
      <c r="X462" s="4"/>
      <c r="Y462" s="4"/>
    </row>
    <row r="463" spans="1:25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W463" s="4"/>
      <c r="X463" s="4"/>
      <c r="Y463" s="4"/>
    </row>
    <row r="464" spans="1:25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W464" s="4"/>
      <c r="X464" s="4"/>
      <c r="Y464" s="4"/>
    </row>
    <row r="465" spans="1:25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W465" s="4"/>
      <c r="X465" s="4"/>
      <c r="Y465" s="4"/>
    </row>
    <row r="466" spans="1:25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W466" s="4"/>
      <c r="X466" s="4"/>
      <c r="Y466" s="4"/>
    </row>
    <row r="467" spans="1:25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W467" s="4"/>
      <c r="X467" s="4"/>
      <c r="Y467" s="4"/>
    </row>
    <row r="468" spans="1:25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W468" s="4"/>
      <c r="X468" s="4"/>
      <c r="Y468" s="4"/>
    </row>
    <row r="469" spans="1:25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W469" s="4"/>
      <c r="X469" s="4"/>
      <c r="Y469" s="4"/>
    </row>
    <row r="470" spans="1:25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W470" s="4"/>
      <c r="X470" s="4"/>
      <c r="Y470" s="4"/>
    </row>
    <row r="471" spans="1:25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W471" s="4"/>
      <c r="X471" s="4"/>
      <c r="Y471" s="4"/>
    </row>
    <row r="472" spans="1:25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W472" s="4"/>
      <c r="X472" s="4"/>
      <c r="Y472" s="4"/>
    </row>
    <row r="473" spans="1:25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W473" s="4"/>
      <c r="X473" s="4"/>
      <c r="Y473" s="4"/>
    </row>
    <row r="474" spans="1:25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W474" s="4"/>
      <c r="X474" s="4"/>
      <c r="Y474" s="4"/>
    </row>
    <row r="475" spans="1:25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W475" s="4"/>
      <c r="X475" s="4"/>
      <c r="Y475" s="4"/>
    </row>
    <row r="476" spans="1:25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W476" s="4"/>
      <c r="X476" s="4"/>
      <c r="Y476" s="4"/>
    </row>
    <row r="477" spans="1:25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W477" s="4"/>
      <c r="X477" s="4"/>
      <c r="Y477" s="4"/>
    </row>
    <row r="478" spans="1:25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W478" s="4"/>
      <c r="X478" s="4"/>
      <c r="Y478" s="4"/>
    </row>
    <row r="479" spans="1:25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W479" s="4"/>
      <c r="X479" s="4"/>
      <c r="Y479" s="4"/>
    </row>
    <row r="480" spans="1:25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W480" s="4"/>
      <c r="X480" s="4"/>
      <c r="Y480" s="4"/>
    </row>
    <row r="481" spans="1:25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W481" s="4"/>
      <c r="X481" s="4"/>
      <c r="Y481" s="4"/>
    </row>
    <row r="482" spans="1:25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W482" s="4"/>
      <c r="X482" s="4"/>
      <c r="Y482" s="4"/>
    </row>
    <row r="483" spans="1:25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W483" s="4"/>
      <c r="X483" s="4"/>
      <c r="Y483" s="4"/>
    </row>
    <row r="484" spans="1:25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W484" s="4"/>
      <c r="X484" s="4"/>
      <c r="Y484" s="4"/>
    </row>
    <row r="485" spans="1:25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W485" s="4"/>
      <c r="X485" s="4"/>
      <c r="Y485" s="4"/>
    </row>
    <row r="486" spans="1:25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W486" s="4"/>
      <c r="X486" s="4"/>
      <c r="Y486" s="4"/>
    </row>
    <row r="487" spans="1:25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W487" s="4"/>
      <c r="X487" s="4"/>
      <c r="Y487" s="4"/>
    </row>
    <row r="488" spans="1:25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W488" s="4"/>
      <c r="X488" s="4"/>
      <c r="Y488" s="4"/>
    </row>
    <row r="489" spans="1:25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W489" s="4"/>
      <c r="X489" s="4"/>
      <c r="Y489" s="4"/>
    </row>
    <row r="490" spans="1:25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W490" s="4"/>
      <c r="X490" s="4"/>
      <c r="Y490" s="4"/>
    </row>
    <row r="491" spans="1:25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W491" s="4"/>
      <c r="X491" s="4"/>
      <c r="Y491" s="4"/>
    </row>
    <row r="492" spans="1:25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W492" s="4"/>
      <c r="X492" s="4"/>
      <c r="Y492" s="4"/>
    </row>
    <row r="493" spans="1:25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W493" s="4"/>
      <c r="X493" s="4"/>
      <c r="Y493" s="4"/>
    </row>
    <row r="494" spans="1:25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W494" s="4"/>
      <c r="X494" s="4"/>
      <c r="Y494" s="4"/>
    </row>
    <row r="495" spans="1:25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W495" s="4"/>
      <c r="X495" s="4"/>
      <c r="Y495" s="4"/>
    </row>
    <row r="496" spans="1:25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W496" s="4"/>
      <c r="X496" s="4"/>
      <c r="Y496" s="4"/>
    </row>
    <row r="497" spans="1:25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W497" s="4"/>
      <c r="X497" s="4"/>
      <c r="Y497" s="4"/>
    </row>
    <row r="498" spans="1:25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W498" s="4"/>
      <c r="X498" s="4"/>
      <c r="Y498" s="4"/>
    </row>
    <row r="499" spans="1:25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W499" s="4"/>
      <c r="X499" s="4"/>
      <c r="Y499" s="4"/>
    </row>
    <row r="500" spans="1:25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W500" s="4"/>
      <c r="X500" s="4"/>
      <c r="Y500" s="4"/>
    </row>
    <row r="501" spans="1:25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W501" s="4"/>
      <c r="X501" s="4"/>
      <c r="Y501" s="4"/>
    </row>
    <row r="502" spans="1:25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W502" s="4"/>
      <c r="X502" s="4"/>
      <c r="Y502" s="4"/>
    </row>
    <row r="503" spans="1:25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W503" s="4"/>
      <c r="X503" s="4"/>
      <c r="Y503" s="4"/>
    </row>
    <row r="504" spans="1:25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W504" s="4"/>
      <c r="X504" s="4"/>
      <c r="Y504" s="4"/>
    </row>
    <row r="505" spans="1:25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W505" s="4"/>
      <c r="X505" s="4"/>
      <c r="Y505" s="4"/>
    </row>
    <row r="506" spans="1:25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W506" s="4"/>
      <c r="X506" s="4"/>
      <c r="Y506" s="4"/>
    </row>
    <row r="507" spans="1:25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W507" s="4"/>
      <c r="X507" s="4"/>
      <c r="Y507" s="4"/>
    </row>
    <row r="508" spans="1:25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W508" s="4"/>
      <c r="X508" s="4"/>
      <c r="Y508" s="4"/>
    </row>
    <row r="509" spans="1:25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W509" s="4"/>
      <c r="X509" s="4"/>
      <c r="Y509" s="4"/>
    </row>
    <row r="510" spans="1:25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W510" s="4"/>
      <c r="X510" s="4"/>
      <c r="Y510" s="4"/>
    </row>
    <row r="511" spans="1:25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W511" s="4"/>
      <c r="X511" s="4"/>
      <c r="Y511" s="4"/>
    </row>
    <row r="512" spans="1:25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W512" s="4"/>
      <c r="X512" s="4"/>
      <c r="Y512" s="4"/>
    </row>
    <row r="513" spans="1:25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W513" s="4"/>
      <c r="X513" s="4"/>
      <c r="Y513" s="4"/>
    </row>
    <row r="514" spans="1:25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W514" s="4"/>
      <c r="X514" s="4"/>
      <c r="Y514" s="4"/>
    </row>
    <row r="515" spans="1:25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W515" s="4"/>
      <c r="X515" s="4"/>
      <c r="Y515" s="4"/>
    </row>
    <row r="516" spans="1:25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W516" s="4"/>
      <c r="X516" s="4"/>
      <c r="Y516" s="4"/>
    </row>
    <row r="517" spans="1:25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W517" s="4"/>
      <c r="X517" s="4"/>
      <c r="Y517" s="4"/>
    </row>
    <row r="518" spans="1:25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W518" s="4"/>
      <c r="X518" s="4"/>
      <c r="Y518" s="4"/>
    </row>
    <row r="519" spans="1:25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W519" s="4"/>
      <c r="X519" s="4"/>
      <c r="Y519" s="4"/>
    </row>
    <row r="520" spans="1:25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W520" s="4"/>
      <c r="X520" s="4"/>
      <c r="Y520" s="4"/>
    </row>
    <row r="521" spans="1:25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W521" s="4"/>
      <c r="X521" s="4"/>
      <c r="Y521" s="4"/>
    </row>
    <row r="522" spans="1:25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W522" s="4"/>
      <c r="X522" s="4"/>
      <c r="Y522" s="4"/>
    </row>
    <row r="523" spans="1:25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W523" s="4"/>
      <c r="X523" s="4"/>
      <c r="Y523" s="4"/>
    </row>
    <row r="524" spans="1:25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W524" s="4"/>
      <c r="X524" s="4"/>
      <c r="Y524" s="4"/>
    </row>
    <row r="525" spans="1:25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W525" s="4"/>
      <c r="X525" s="4"/>
      <c r="Y525" s="4"/>
    </row>
    <row r="526" spans="1:25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W526" s="4"/>
      <c r="X526" s="4"/>
      <c r="Y526" s="4"/>
    </row>
    <row r="527" spans="1:25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W527" s="4"/>
      <c r="X527" s="4"/>
      <c r="Y527" s="4"/>
    </row>
    <row r="528" spans="1:25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W528" s="4"/>
      <c r="X528" s="4"/>
      <c r="Y528" s="4"/>
    </row>
    <row r="529" spans="1:25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W529" s="4"/>
      <c r="X529" s="4"/>
      <c r="Y529" s="4"/>
    </row>
    <row r="530" spans="1:25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W530" s="4"/>
      <c r="X530" s="4"/>
      <c r="Y530" s="4"/>
    </row>
    <row r="531" spans="1:25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W531" s="4"/>
      <c r="X531" s="4"/>
      <c r="Y531" s="4"/>
    </row>
    <row r="532" spans="1:25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W532" s="4"/>
      <c r="X532" s="4"/>
      <c r="Y532" s="4"/>
    </row>
    <row r="533" spans="1:25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W533" s="4"/>
      <c r="X533" s="4"/>
      <c r="Y533" s="4"/>
    </row>
    <row r="534" spans="1:25" x14ac:dyDescent="0.3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W534" s="4"/>
      <c r="X534" s="4"/>
      <c r="Y534" s="4"/>
    </row>
    <row r="535" spans="1:25" x14ac:dyDescent="0.3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W535" s="4"/>
      <c r="X535" s="4"/>
      <c r="Y535" s="4"/>
    </row>
    <row r="536" spans="1:25" x14ac:dyDescent="0.3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W536" s="4"/>
      <c r="X536" s="4"/>
      <c r="Y536" s="4"/>
    </row>
    <row r="537" spans="1:25" x14ac:dyDescent="0.3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W537" s="4"/>
      <c r="X537" s="4"/>
      <c r="Y537" s="4"/>
    </row>
    <row r="538" spans="1:25" x14ac:dyDescent="0.3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W538" s="4"/>
      <c r="X538" s="4"/>
      <c r="Y538" s="4"/>
    </row>
    <row r="539" spans="1:25" x14ac:dyDescent="0.3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W539" s="4"/>
      <c r="X539" s="4"/>
      <c r="Y539" s="4"/>
    </row>
    <row r="540" spans="1:25" x14ac:dyDescent="0.3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W540" s="4"/>
      <c r="X540" s="4"/>
      <c r="Y540" s="4"/>
    </row>
    <row r="541" spans="1:25" x14ac:dyDescent="0.3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W541" s="4"/>
      <c r="X541" s="4"/>
      <c r="Y541" s="4"/>
    </row>
    <row r="542" spans="1:25" x14ac:dyDescent="0.3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W542" s="4"/>
      <c r="X542" s="4"/>
      <c r="Y542" s="4"/>
    </row>
    <row r="543" spans="1:25" x14ac:dyDescent="0.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W543" s="4"/>
      <c r="X543" s="4"/>
      <c r="Y543" s="4"/>
    </row>
    <row r="544" spans="1:25" x14ac:dyDescent="0.3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W544" s="4"/>
      <c r="X544" s="4"/>
      <c r="Y544" s="4"/>
    </row>
    <row r="545" spans="2:25" x14ac:dyDescent="0.3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W545" s="4"/>
      <c r="X545" s="4"/>
      <c r="Y545" s="4"/>
    </row>
    <row r="546" spans="2:25" x14ac:dyDescent="0.3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W546" s="4"/>
      <c r="X546" s="4"/>
      <c r="Y546" s="4"/>
    </row>
    <row r="547" spans="2:25" x14ac:dyDescent="0.3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W547" s="4"/>
      <c r="X547" s="4"/>
      <c r="Y547" s="4"/>
    </row>
    <row r="548" spans="2:25" x14ac:dyDescent="0.3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W548" s="4"/>
      <c r="X548" s="4"/>
      <c r="Y548" s="4"/>
    </row>
    <row r="549" spans="2:25" x14ac:dyDescent="0.3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W549" s="4"/>
      <c r="X549" s="4"/>
      <c r="Y549" s="4"/>
    </row>
    <row r="550" spans="2:25" x14ac:dyDescent="0.3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W550" s="4"/>
      <c r="X550" s="4"/>
      <c r="Y550" s="4"/>
    </row>
    <row r="551" spans="2:25" x14ac:dyDescent="0.3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W551" s="4"/>
      <c r="X551" s="4"/>
      <c r="Y551" s="4"/>
    </row>
    <row r="552" spans="2:25" x14ac:dyDescent="0.3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W552" s="4"/>
      <c r="X552" s="4"/>
      <c r="Y552" s="4"/>
    </row>
    <row r="553" spans="2:25" x14ac:dyDescent="0.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W553" s="4"/>
      <c r="X553" s="4"/>
      <c r="Y553" s="4"/>
    </row>
    <row r="554" spans="2:25" x14ac:dyDescent="0.3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W554" s="4"/>
      <c r="X554" s="4"/>
      <c r="Y554" s="4"/>
    </row>
    <row r="555" spans="2:25" x14ac:dyDescent="0.3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W555" s="4"/>
      <c r="X555" s="4"/>
      <c r="Y555" s="4"/>
    </row>
    <row r="556" spans="2:25" x14ac:dyDescent="0.3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W556" s="4"/>
      <c r="X556" s="4"/>
      <c r="Y556" s="4"/>
    </row>
    <row r="557" spans="2:25" x14ac:dyDescent="0.3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W557" s="4"/>
      <c r="X557" s="4"/>
      <c r="Y557" s="4"/>
    </row>
    <row r="558" spans="2:25" x14ac:dyDescent="0.3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W558" s="4"/>
      <c r="X558" s="4"/>
      <c r="Y558" s="4"/>
    </row>
    <row r="559" spans="2:25" x14ac:dyDescent="0.3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W559" s="4"/>
      <c r="X559" s="4"/>
      <c r="Y559" s="4"/>
    </row>
    <row r="560" spans="2:25" x14ac:dyDescent="0.3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W560" s="4"/>
      <c r="X560" s="4"/>
      <c r="Y560" s="4"/>
    </row>
    <row r="561" spans="2:25" x14ac:dyDescent="0.3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W561" s="4"/>
      <c r="X561" s="4"/>
      <c r="Y561" s="4"/>
    </row>
    <row r="562" spans="2:25" x14ac:dyDescent="0.3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W562" s="4"/>
      <c r="X562" s="4"/>
      <c r="Y562" s="4"/>
    </row>
    <row r="563" spans="2:25" x14ac:dyDescent="0.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W563" s="4"/>
      <c r="X563" s="4"/>
      <c r="Y563" s="4"/>
    </row>
    <row r="564" spans="2:25" x14ac:dyDescent="0.3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W564" s="4"/>
      <c r="X564" s="4"/>
      <c r="Y564" s="4"/>
    </row>
    <row r="565" spans="2:25" x14ac:dyDescent="0.3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W565" s="4"/>
      <c r="X565" s="4"/>
      <c r="Y565" s="4"/>
    </row>
    <row r="566" spans="2:25" x14ac:dyDescent="0.3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W566" s="4"/>
      <c r="X566" s="4"/>
      <c r="Y566" s="4"/>
    </row>
    <row r="567" spans="2:25" x14ac:dyDescent="0.3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W567" s="4"/>
      <c r="X567" s="4"/>
      <c r="Y567" s="4"/>
    </row>
    <row r="568" spans="2:25" x14ac:dyDescent="0.3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W568" s="4"/>
      <c r="X568" s="4"/>
      <c r="Y568" s="4"/>
    </row>
    <row r="569" spans="2:25" x14ac:dyDescent="0.3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W569" s="4"/>
      <c r="X569" s="4"/>
      <c r="Y569" s="4"/>
    </row>
    <row r="570" spans="2:25" x14ac:dyDescent="0.3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W570" s="4"/>
      <c r="X570" s="4"/>
      <c r="Y570" s="4"/>
    </row>
    <row r="571" spans="2:25" x14ac:dyDescent="0.3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W571" s="4"/>
      <c r="X571" s="4"/>
      <c r="Y571" s="4"/>
    </row>
    <row r="572" spans="2:25" x14ac:dyDescent="0.3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W572" s="4"/>
      <c r="X572" s="4"/>
      <c r="Y572" s="4"/>
    </row>
    <row r="573" spans="2:25" x14ac:dyDescent="0.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W573" s="4"/>
      <c r="X573" s="4"/>
      <c r="Y573" s="4"/>
    </row>
    <row r="574" spans="2:25" x14ac:dyDescent="0.3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W574" s="4"/>
      <c r="X574" s="4"/>
      <c r="Y574" s="4"/>
    </row>
    <row r="575" spans="2:25" x14ac:dyDescent="0.3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W575" s="4"/>
      <c r="X575" s="4"/>
      <c r="Y575" s="4"/>
    </row>
    <row r="576" spans="2:25" x14ac:dyDescent="0.3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W576" s="4"/>
      <c r="X576" s="4"/>
      <c r="Y576" s="4"/>
    </row>
    <row r="577" spans="2:25" x14ac:dyDescent="0.3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W577" s="4"/>
      <c r="X577" s="4"/>
      <c r="Y577" s="4"/>
    </row>
    <row r="578" spans="2:25" x14ac:dyDescent="0.3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W578" s="4"/>
      <c r="X578" s="4"/>
      <c r="Y578" s="4"/>
    </row>
    <row r="579" spans="2:25" x14ac:dyDescent="0.3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W579" s="4"/>
      <c r="X579" s="4"/>
      <c r="Y579" s="4"/>
    </row>
    <row r="580" spans="2:25" x14ac:dyDescent="0.3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W580" s="4"/>
      <c r="X580" s="4"/>
      <c r="Y580" s="4"/>
    </row>
    <row r="581" spans="2:25" x14ac:dyDescent="0.3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W581" s="4"/>
      <c r="X581" s="4"/>
      <c r="Y581" s="4"/>
    </row>
    <row r="582" spans="2:25" x14ac:dyDescent="0.3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W582" s="4"/>
      <c r="X582" s="4"/>
      <c r="Y582" s="4"/>
    </row>
    <row r="583" spans="2:25" x14ac:dyDescent="0.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W583" s="4"/>
      <c r="X583" s="4"/>
      <c r="Y583" s="4"/>
    </row>
    <row r="584" spans="2:25" x14ac:dyDescent="0.3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W584" s="4"/>
      <c r="X584" s="4"/>
      <c r="Y584" s="4"/>
    </row>
    <row r="585" spans="2:25" x14ac:dyDescent="0.3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W585" s="4"/>
      <c r="X585" s="4"/>
      <c r="Y585" s="4"/>
    </row>
    <row r="586" spans="2:25" x14ac:dyDescent="0.3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W586" s="4"/>
      <c r="X586" s="4"/>
      <c r="Y586" s="4"/>
    </row>
    <row r="587" spans="2:25" x14ac:dyDescent="0.3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W587" s="4"/>
      <c r="X587" s="4"/>
      <c r="Y587" s="4"/>
    </row>
    <row r="588" spans="2:25" x14ac:dyDescent="0.3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W588" s="4"/>
      <c r="X588" s="4"/>
      <c r="Y588" s="4"/>
    </row>
    <row r="589" spans="2:25" x14ac:dyDescent="0.3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W589" s="4"/>
      <c r="X589" s="4"/>
      <c r="Y589" s="4"/>
    </row>
    <row r="590" spans="2:25" x14ac:dyDescent="0.3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W590" s="4"/>
      <c r="X590" s="4"/>
      <c r="Y590" s="4"/>
    </row>
    <row r="591" spans="2:25" x14ac:dyDescent="0.3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W591" s="4"/>
      <c r="X591" s="4"/>
      <c r="Y591" s="4"/>
    </row>
    <row r="592" spans="2:25" x14ac:dyDescent="0.3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W592" s="4"/>
      <c r="X592" s="4"/>
      <c r="Y592" s="4"/>
    </row>
    <row r="593" spans="2:25" x14ac:dyDescent="0.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W593" s="4"/>
      <c r="X593" s="4"/>
      <c r="Y593" s="4"/>
    </row>
    <row r="594" spans="2:25" x14ac:dyDescent="0.3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W594" s="4"/>
      <c r="X594" s="4"/>
      <c r="Y594" s="4"/>
    </row>
    <row r="595" spans="2:25" x14ac:dyDescent="0.3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W595" s="4"/>
      <c r="X595" s="4"/>
      <c r="Y595" s="4"/>
    </row>
    <row r="596" spans="2:25" x14ac:dyDescent="0.3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W596" s="4"/>
      <c r="X596" s="4"/>
      <c r="Y596" s="4"/>
    </row>
    <row r="597" spans="2:25" x14ac:dyDescent="0.3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W597" s="4"/>
      <c r="X597" s="4"/>
      <c r="Y597" s="4"/>
    </row>
    <row r="598" spans="2:25" x14ac:dyDescent="0.3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W598" s="4"/>
      <c r="X598" s="4"/>
      <c r="Y598" s="4"/>
    </row>
    <row r="599" spans="2:25" x14ac:dyDescent="0.3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W599" s="4"/>
      <c r="X599" s="4"/>
      <c r="Y599" s="4"/>
    </row>
    <row r="600" spans="2:25" x14ac:dyDescent="0.3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W600" s="4"/>
      <c r="X600" s="4"/>
      <c r="Y600" s="4"/>
    </row>
    <row r="601" spans="2:25" x14ac:dyDescent="0.3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W601" s="4"/>
      <c r="X601" s="4"/>
      <c r="Y601" s="4"/>
    </row>
    <row r="602" spans="2:25" x14ac:dyDescent="0.3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W602" s="4"/>
      <c r="X602" s="4"/>
      <c r="Y602" s="4"/>
    </row>
    <row r="603" spans="2:25" x14ac:dyDescent="0.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W603" s="4"/>
      <c r="X603" s="4"/>
      <c r="Y603" s="4"/>
    </row>
    <row r="604" spans="2:25" x14ac:dyDescent="0.3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W604" s="4"/>
      <c r="X604" s="4"/>
      <c r="Y604" s="4"/>
    </row>
    <row r="605" spans="2:25" x14ac:dyDescent="0.3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W605" s="4"/>
      <c r="X605" s="4"/>
      <c r="Y605" s="4"/>
    </row>
    <row r="606" spans="2:25" x14ac:dyDescent="0.3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W606" s="4"/>
      <c r="X606" s="4"/>
      <c r="Y606" s="4"/>
    </row>
    <row r="607" spans="2:25" x14ac:dyDescent="0.3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W607" s="4"/>
      <c r="X607" s="4"/>
      <c r="Y607" s="4"/>
    </row>
    <row r="608" spans="2:25" x14ac:dyDescent="0.3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W608" s="4"/>
      <c r="X608" s="4"/>
      <c r="Y608" s="4"/>
    </row>
    <row r="609" spans="2:25" x14ac:dyDescent="0.3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W609" s="4"/>
      <c r="X609" s="4"/>
      <c r="Y609" s="4"/>
    </row>
    <row r="610" spans="2:25" x14ac:dyDescent="0.3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W610" s="4"/>
      <c r="X610" s="4"/>
      <c r="Y610" s="4"/>
    </row>
    <row r="611" spans="2:25" x14ac:dyDescent="0.3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W611" s="4"/>
      <c r="X611" s="4"/>
      <c r="Y611" s="4"/>
    </row>
    <row r="612" spans="2:25" x14ac:dyDescent="0.3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W612" s="4"/>
      <c r="X612" s="4"/>
      <c r="Y612" s="4"/>
    </row>
    <row r="613" spans="2:25" x14ac:dyDescent="0.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W613" s="4"/>
      <c r="X613" s="4"/>
      <c r="Y613" s="4"/>
    </row>
    <row r="614" spans="2:25" x14ac:dyDescent="0.3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W614" s="4"/>
      <c r="X614" s="4"/>
      <c r="Y614" s="4"/>
    </row>
    <row r="615" spans="2:25" x14ac:dyDescent="0.3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W615" s="4"/>
      <c r="X615" s="4"/>
      <c r="Y615" s="4"/>
    </row>
    <row r="616" spans="2:25" x14ac:dyDescent="0.3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W616" s="4"/>
      <c r="X616" s="4"/>
      <c r="Y616" s="4"/>
    </row>
    <row r="617" spans="2:25" x14ac:dyDescent="0.3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W617" s="4"/>
      <c r="X617" s="4"/>
      <c r="Y617" s="4"/>
    </row>
    <row r="618" spans="2:25" x14ac:dyDescent="0.3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W618" s="4"/>
      <c r="X618" s="4"/>
      <c r="Y618" s="4"/>
    </row>
    <row r="619" spans="2:25" x14ac:dyDescent="0.3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W619" s="4"/>
      <c r="X619" s="4"/>
      <c r="Y619" s="4"/>
    </row>
    <row r="620" spans="2:25" x14ac:dyDescent="0.3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W620" s="4"/>
      <c r="X620" s="4"/>
      <c r="Y620" s="4"/>
    </row>
    <row r="621" spans="2:25" x14ac:dyDescent="0.3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W621" s="4"/>
      <c r="X621" s="4"/>
      <c r="Y621" s="4"/>
    </row>
    <row r="622" spans="2:25" x14ac:dyDescent="0.3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W622" s="4"/>
      <c r="X622" s="4"/>
      <c r="Y622" s="4"/>
    </row>
    <row r="623" spans="2:25" x14ac:dyDescent="0.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W623" s="4"/>
      <c r="X623" s="4"/>
      <c r="Y623" s="4"/>
    </row>
    <row r="624" spans="2:25" x14ac:dyDescent="0.3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W624" s="4"/>
      <c r="X624" s="4"/>
      <c r="Y624" s="4"/>
    </row>
    <row r="625" spans="2:25" x14ac:dyDescent="0.3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W625" s="4"/>
      <c r="X625" s="4"/>
      <c r="Y625" s="4"/>
    </row>
    <row r="626" spans="2:25" x14ac:dyDescent="0.3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W626" s="4"/>
      <c r="X626" s="4"/>
      <c r="Y626" s="4"/>
    </row>
    <row r="627" spans="2:25" x14ac:dyDescent="0.3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W627" s="4"/>
      <c r="X627" s="4"/>
      <c r="Y627" s="4"/>
    </row>
    <row r="628" spans="2:25" x14ac:dyDescent="0.3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W628" s="4"/>
      <c r="X628" s="4"/>
      <c r="Y628" s="4"/>
    </row>
    <row r="629" spans="2:25" x14ac:dyDescent="0.3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W629" s="4"/>
      <c r="X629" s="4"/>
      <c r="Y629" s="4"/>
    </row>
    <row r="630" spans="2:25" x14ac:dyDescent="0.3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W630" s="4"/>
      <c r="X630" s="4"/>
      <c r="Y630" s="4"/>
    </row>
    <row r="631" spans="2:25" x14ac:dyDescent="0.3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W631" s="4"/>
      <c r="X631" s="4"/>
      <c r="Y631" s="4"/>
    </row>
    <row r="632" spans="2:25" x14ac:dyDescent="0.3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W632" s="4"/>
      <c r="X632" s="4"/>
      <c r="Y632" s="4"/>
    </row>
    <row r="633" spans="2:25" x14ac:dyDescent="0.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W633" s="4"/>
      <c r="X633" s="4"/>
      <c r="Y633" s="4"/>
    </row>
    <row r="634" spans="2:25" x14ac:dyDescent="0.3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W634" s="4"/>
      <c r="X634" s="4"/>
      <c r="Y634" s="4"/>
    </row>
    <row r="635" spans="2:25" x14ac:dyDescent="0.3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W635" s="4"/>
      <c r="X635" s="4"/>
      <c r="Y635" s="4"/>
    </row>
    <row r="636" spans="2:25" x14ac:dyDescent="0.3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W636" s="4"/>
      <c r="X636" s="4"/>
      <c r="Y636" s="4"/>
    </row>
    <row r="637" spans="2:25" x14ac:dyDescent="0.3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W637" s="4"/>
      <c r="X637" s="4"/>
      <c r="Y637" s="4"/>
    </row>
    <row r="638" spans="2:25" x14ac:dyDescent="0.3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W638" s="4"/>
      <c r="X638" s="4"/>
      <c r="Y638" s="4"/>
    </row>
    <row r="639" spans="2:25" x14ac:dyDescent="0.3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W639" s="4"/>
      <c r="X639" s="4"/>
      <c r="Y639" s="4"/>
    </row>
    <row r="640" spans="2:25" x14ac:dyDescent="0.3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W640" s="4"/>
      <c r="X640" s="4"/>
      <c r="Y640" s="4"/>
    </row>
    <row r="641" spans="2:25" x14ac:dyDescent="0.3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W641" s="4"/>
      <c r="X641" s="4"/>
      <c r="Y641" s="4"/>
    </row>
    <row r="642" spans="2:25" x14ac:dyDescent="0.3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W642" s="4"/>
      <c r="X642" s="4"/>
      <c r="Y642" s="4"/>
    </row>
    <row r="643" spans="2:25" x14ac:dyDescent="0.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W643" s="4"/>
      <c r="X643" s="4"/>
      <c r="Y643" s="4"/>
    </row>
    <row r="644" spans="2:25" x14ac:dyDescent="0.3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W644" s="4"/>
      <c r="X644" s="4"/>
      <c r="Y644" s="4"/>
    </row>
    <row r="645" spans="2:25" x14ac:dyDescent="0.3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W645" s="4"/>
      <c r="X645" s="4"/>
      <c r="Y645" s="4"/>
    </row>
    <row r="646" spans="2:25" x14ac:dyDescent="0.3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W646" s="4"/>
      <c r="X646" s="4"/>
      <c r="Y646" s="4"/>
    </row>
    <row r="647" spans="2:25" x14ac:dyDescent="0.3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W647" s="4"/>
      <c r="X647" s="4"/>
      <c r="Y647" s="4"/>
    </row>
    <row r="648" spans="2:25" x14ac:dyDescent="0.3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W648" s="4"/>
      <c r="X648" s="4"/>
      <c r="Y648" s="4"/>
    </row>
    <row r="649" spans="2:25" x14ac:dyDescent="0.3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W649" s="4"/>
      <c r="X649" s="4"/>
      <c r="Y649" s="4"/>
    </row>
    <row r="650" spans="2:25" x14ac:dyDescent="0.3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W650" s="4"/>
      <c r="X650" s="4"/>
      <c r="Y650" s="4"/>
    </row>
    <row r="651" spans="2:25" x14ac:dyDescent="0.3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W651" s="4"/>
      <c r="X651" s="4"/>
      <c r="Y651" s="4"/>
    </row>
    <row r="652" spans="2:25" x14ac:dyDescent="0.3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W652" s="4"/>
      <c r="X652" s="4"/>
      <c r="Y652" s="4"/>
    </row>
    <row r="653" spans="2:25" x14ac:dyDescent="0.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W653" s="4"/>
      <c r="X653" s="4"/>
      <c r="Y653" s="4"/>
    </row>
    <row r="654" spans="2:25" x14ac:dyDescent="0.3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W654" s="4"/>
      <c r="X654" s="4"/>
      <c r="Y654" s="4"/>
    </row>
    <row r="655" spans="2:25" x14ac:dyDescent="0.3">
      <c r="W655" s="4"/>
      <c r="X655" s="4"/>
      <c r="Y655" s="4"/>
    </row>
    <row r="656" spans="2:25" x14ac:dyDescent="0.3">
      <c r="W656" s="4"/>
      <c r="X656" s="4"/>
      <c r="Y656" s="4"/>
    </row>
    <row r="657" spans="23:25" x14ac:dyDescent="0.3">
      <c r="W657" s="4"/>
      <c r="X657" s="4"/>
      <c r="Y657" s="4"/>
    </row>
    <row r="658" spans="23:25" x14ac:dyDescent="0.3">
      <c r="W658" s="4"/>
      <c r="X658" s="4"/>
      <c r="Y658" s="4"/>
    </row>
    <row r="659" spans="23:25" x14ac:dyDescent="0.3">
      <c r="W659" s="4"/>
      <c r="X659" s="4"/>
      <c r="Y659" s="4"/>
    </row>
    <row r="660" spans="23:25" x14ac:dyDescent="0.3">
      <c r="W660" s="4"/>
      <c r="X660" s="4"/>
      <c r="Y660" s="4"/>
    </row>
    <row r="661" spans="23:25" x14ac:dyDescent="0.3">
      <c r="W661" s="4"/>
      <c r="X661" s="4"/>
      <c r="Y661" s="4"/>
    </row>
    <row r="662" spans="23:25" x14ac:dyDescent="0.3">
      <c r="W662" s="4"/>
      <c r="X662" s="4"/>
      <c r="Y662" s="4"/>
    </row>
    <row r="663" spans="23:25" x14ac:dyDescent="0.3">
      <c r="W663" s="4"/>
      <c r="X663" s="4"/>
      <c r="Y663" s="4"/>
    </row>
    <row r="664" spans="23:25" x14ac:dyDescent="0.3">
      <c r="W664" s="4"/>
      <c r="X664" s="4"/>
      <c r="Y664" s="4"/>
    </row>
    <row r="665" spans="23:25" x14ac:dyDescent="0.3">
      <c r="W665" s="4"/>
      <c r="X665" s="4"/>
      <c r="Y665" s="4"/>
    </row>
    <row r="666" spans="23:25" x14ac:dyDescent="0.3">
      <c r="W666" s="4"/>
      <c r="X666" s="4"/>
      <c r="Y666" s="4"/>
    </row>
    <row r="667" spans="23:25" x14ac:dyDescent="0.3">
      <c r="W667" s="4"/>
      <c r="X667" s="4"/>
      <c r="Y667" s="4"/>
    </row>
    <row r="668" spans="23:25" x14ac:dyDescent="0.3">
      <c r="W668" s="4"/>
      <c r="X668" s="4"/>
      <c r="Y668" s="4"/>
    </row>
    <row r="669" spans="23:25" x14ac:dyDescent="0.3">
      <c r="W669" s="4"/>
      <c r="X669" s="4"/>
      <c r="Y669" s="4"/>
    </row>
    <row r="670" spans="23:25" x14ac:dyDescent="0.3">
      <c r="W670" s="4"/>
      <c r="X670" s="4"/>
      <c r="Y670" s="4"/>
    </row>
    <row r="671" spans="23:25" x14ac:dyDescent="0.3">
      <c r="W671" s="4"/>
      <c r="X671" s="4"/>
      <c r="Y671" s="4"/>
    </row>
    <row r="672" spans="23:25" x14ac:dyDescent="0.3">
      <c r="W672" s="4"/>
      <c r="X672" s="4"/>
      <c r="Y672" s="4"/>
    </row>
    <row r="673" spans="23:25" x14ac:dyDescent="0.3">
      <c r="W673" s="4"/>
      <c r="X673" s="4"/>
      <c r="Y673" s="4"/>
    </row>
    <row r="674" spans="23:25" x14ac:dyDescent="0.3">
      <c r="W674" s="4"/>
      <c r="X674" s="4"/>
      <c r="Y674" s="4"/>
    </row>
    <row r="675" spans="23:25" x14ac:dyDescent="0.3">
      <c r="W675" s="4"/>
      <c r="X675" s="4"/>
      <c r="Y675" s="4"/>
    </row>
    <row r="676" spans="23:25" x14ac:dyDescent="0.3">
      <c r="W676" s="4"/>
      <c r="X676" s="4"/>
      <c r="Y676" s="4"/>
    </row>
    <row r="677" spans="23:25" x14ac:dyDescent="0.3">
      <c r="W677" s="4"/>
      <c r="X677" s="4"/>
      <c r="Y677" s="4"/>
    </row>
    <row r="678" spans="23:25" x14ac:dyDescent="0.3">
      <c r="W678" s="4"/>
      <c r="X678" s="4"/>
      <c r="Y678" s="4"/>
    </row>
    <row r="679" spans="23:25" x14ac:dyDescent="0.3">
      <c r="W679" s="4"/>
      <c r="X679" s="4"/>
      <c r="Y679" s="4"/>
    </row>
    <row r="680" spans="23:25" x14ac:dyDescent="0.3">
      <c r="W680" s="4"/>
      <c r="X680" s="4"/>
      <c r="Y680" s="4"/>
    </row>
    <row r="681" spans="23:25" x14ac:dyDescent="0.3">
      <c r="W681" s="4"/>
      <c r="X681" s="4"/>
      <c r="Y681" s="4"/>
    </row>
    <row r="682" spans="23:25" x14ac:dyDescent="0.3">
      <c r="W682" s="4"/>
      <c r="X682" s="4"/>
      <c r="Y682" s="4"/>
    </row>
    <row r="683" spans="23:25" x14ac:dyDescent="0.3">
      <c r="W683" s="4"/>
      <c r="X683" s="4"/>
      <c r="Y683" s="4"/>
    </row>
    <row r="684" spans="23:25" x14ac:dyDescent="0.3">
      <c r="W684" s="4"/>
      <c r="X684" s="4"/>
      <c r="Y684" s="4"/>
    </row>
    <row r="685" spans="23:25" x14ac:dyDescent="0.3">
      <c r="W685" s="4"/>
      <c r="X685" s="4"/>
      <c r="Y685" s="4"/>
    </row>
    <row r="686" spans="23:25" x14ac:dyDescent="0.3">
      <c r="W686" s="4"/>
      <c r="X686" s="4"/>
      <c r="Y686" s="4"/>
    </row>
    <row r="687" spans="23:25" x14ac:dyDescent="0.3">
      <c r="W687" s="4"/>
      <c r="X687" s="4"/>
      <c r="Y687" s="4"/>
    </row>
    <row r="688" spans="23:25" x14ac:dyDescent="0.3">
      <c r="W688" s="4"/>
      <c r="X688" s="4"/>
      <c r="Y688" s="4"/>
    </row>
    <row r="689" spans="23:25" x14ac:dyDescent="0.3">
      <c r="W689" s="4"/>
      <c r="X689" s="4"/>
      <c r="Y689" s="4"/>
    </row>
    <row r="690" spans="23:25" x14ac:dyDescent="0.3">
      <c r="W690" s="4"/>
      <c r="X690" s="4"/>
      <c r="Y690" s="4"/>
    </row>
    <row r="691" spans="23:25" x14ac:dyDescent="0.3">
      <c r="W691" s="4"/>
      <c r="X691" s="4"/>
      <c r="Y691" s="4"/>
    </row>
    <row r="692" spans="23:25" x14ac:dyDescent="0.3">
      <c r="W692" s="4"/>
      <c r="X692" s="4"/>
      <c r="Y692" s="4"/>
    </row>
    <row r="693" spans="23:25" x14ac:dyDescent="0.3">
      <c r="W693" s="4"/>
      <c r="X693" s="4"/>
      <c r="Y693" s="4"/>
    </row>
    <row r="694" spans="23:25" x14ac:dyDescent="0.3">
      <c r="W694" s="4"/>
      <c r="X694" s="4"/>
      <c r="Y694" s="4"/>
    </row>
    <row r="695" spans="23:25" x14ac:dyDescent="0.3">
      <c r="W695" s="4"/>
      <c r="X695" s="4"/>
      <c r="Y695" s="4"/>
    </row>
    <row r="696" spans="23:25" x14ac:dyDescent="0.3">
      <c r="W696" s="4"/>
      <c r="X696" s="4"/>
      <c r="Y696" s="4"/>
    </row>
    <row r="697" spans="23:25" x14ac:dyDescent="0.3">
      <c r="W697" s="4"/>
      <c r="X697" s="4"/>
      <c r="Y697" s="4"/>
    </row>
    <row r="698" spans="23:25" x14ac:dyDescent="0.3">
      <c r="W698" s="4"/>
      <c r="X698" s="4"/>
      <c r="Y698" s="4"/>
    </row>
    <row r="699" spans="23:25" x14ac:dyDescent="0.3">
      <c r="W699" s="4"/>
      <c r="X699" s="4"/>
      <c r="Y699" s="4"/>
    </row>
    <row r="700" spans="23:25" x14ac:dyDescent="0.3">
      <c r="W700" s="4"/>
      <c r="X700" s="4"/>
      <c r="Y700" s="4"/>
    </row>
    <row r="701" spans="23:25" x14ac:dyDescent="0.3">
      <c r="W701" s="4"/>
      <c r="X701" s="4"/>
      <c r="Y701" s="4"/>
    </row>
    <row r="702" spans="23:25" x14ac:dyDescent="0.3">
      <c r="W702" s="4"/>
      <c r="X702" s="4"/>
      <c r="Y702" s="4"/>
    </row>
    <row r="703" spans="23:25" x14ac:dyDescent="0.3">
      <c r="W703" s="4"/>
      <c r="X703" s="4"/>
      <c r="Y703" s="4"/>
    </row>
    <row r="704" spans="23:25" x14ac:dyDescent="0.3">
      <c r="W704" s="4"/>
      <c r="X704" s="4"/>
      <c r="Y704" s="4"/>
    </row>
    <row r="705" spans="23:25" x14ac:dyDescent="0.3">
      <c r="W705" s="4"/>
      <c r="X705" s="4"/>
      <c r="Y705" s="4"/>
    </row>
    <row r="706" spans="23:25" x14ac:dyDescent="0.3">
      <c r="W706" s="4"/>
      <c r="X706" s="4"/>
      <c r="Y706" s="4"/>
    </row>
    <row r="707" spans="23:25" x14ac:dyDescent="0.3">
      <c r="W707" s="4"/>
      <c r="X707" s="4"/>
      <c r="Y707" s="4"/>
    </row>
    <row r="708" spans="23:25" x14ac:dyDescent="0.3">
      <c r="W708" s="4"/>
      <c r="X708" s="4"/>
      <c r="Y708" s="4"/>
    </row>
    <row r="709" spans="23:25" x14ac:dyDescent="0.3">
      <c r="W709" s="4"/>
      <c r="X709" s="4"/>
      <c r="Y709" s="4"/>
    </row>
    <row r="710" spans="23:25" x14ac:dyDescent="0.3">
      <c r="W710" s="4"/>
      <c r="X710" s="4"/>
      <c r="Y710" s="4"/>
    </row>
    <row r="711" spans="23:25" x14ac:dyDescent="0.3">
      <c r="W711" s="4"/>
      <c r="X711" s="4"/>
      <c r="Y711" s="4"/>
    </row>
    <row r="712" spans="23:25" x14ac:dyDescent="0.3">
      <c r="W712" s="4"/>
      <c r="X712" s="4"/>
      <c r="Y712" s="4"/>
    </row>
    <row r="713" spans="23:25" x14ac:dyDescent="0.3">
      <c r="W713" s="4"/>
      <c r="X713" s="4"/>
      <c r="Y713" s="4"/>
    </row>
    <row r="714" spans="23:25" x14ac:dyDescent="0.3">
      <c r="W714" s="4"/>
      <c r="X714" s="4"/>
      <c r="Y714" s="4"/>
    </row>
    <row r="715" spans="23:25" x14ac:dyDescent="0.3">
      <c r="W715" s="4"/>
      <c r="X715" s="4"/>
      <c r="Y715" s="4"/>
    </row>
    <row r="716" spans="23:25" x14ac:dyDescent="0.3">
      <c r="W716" s="4"/>
      <c r="X716" s="4"/>
      <c r="Y716" s="4"/>
    </row>
    <row r="717" spans="23:25" x14ac:dyDescent="0.3">
      <c r="W717" s="4"/>
      <c r="X717" s="4"/>
      <c r="Y717" s="4"/>
    </row>
    <row r="718" spans="23:25" x14ac:dyDescent="0.3">
      <c r="W718" s="4"/>
      <c r="X718" s="4"/>
      <c r="Y718" s="4"/>
    </row>
    <row r="719" spans="23:25" x14ac:dyDescent="0.3">
      <c r="W719" s="4"/>
      <c r="X719" s="4"/>
      <c r="Y719" s="4"/>
    </row>
    <row r="720" spans="23:25" x14ac:dyDescent="0.3">
      <c r="W720" s="4"/>
      <c r="X720" s="4"/>
      <c r="Y720" s="4"/>
    </row>
    <row r="721" spans="23:25" x14ac:dyDescent="0.3">
      <c r="W721" s="4"/>
      <c r="X721" s="4"/>
      <c r="Y721" s="4"/>
    </row>
    <row r="722" spans="23:25" x14ac:dyDescent="0.3">
      <c r="W722" s="4"/>
      <c r="X722" s="4"/>
      <c r="Y722" s="4"/>
    </row>
    <row r="723" spans="23:25" x14ac:dyDescent="0.3">
      <c r="W723" s="4"/>
      <c r="X723" s="4"/>
      <c r="Y723" s="4"/>
    </row>
    <row r="724" spans="23:25" x14ac:dyDescent="0.3">
      <c r="W724" s="4"/>
      <c r="X724" s="4"/>
      <c r="Y724" s="4"/>
    </row>
    <row r="725" spans="23:25" x14ac:dyDescent="0.3">
      <c r="W725" s="4"/>
      <c r="X725" s="4"/>
      <c r="Y725" s="4"/>
    </row>
    <row r="726" spans="23:25" x14ac:dyDescent="0.3">
      <c r="W726" s="4"/>
      <c r="X726" s="4"/>
      <c r="Y726" s="4"/>
    </row>
    <row r="727" spans="23:25" x14ac:dyDescent="0.3">
      <c r="W727" s="4"/>
      <c r="X727" s="4"/>
      <c r="Y727" s="4"/>
    </row>
    <row r="728" spans="23:25" x14ac:dyDescent="0.3">
      <c r="W728" s="4"/>
      <c r="X728" s="4"/>
      <c r="Y728" s="4"/>
    </row>
    <row r="729" spans="23:25" x14ac:dyDescent="0.3">
      <c r="W729" s="4"/>
      <c r="X729" s="4"/>
      <c r="Y729" s="4"/>
    </row>
    <row r="730" spans="23:25" x14ac:dyDescent="0.3">
      <c r="W730" s="4"/>
      <c r="X730" s="4"/>
      <c r="Y730" s="4"/>
    </row>
    <row r="731" spans="23:25" x14ac:dyDescent="0.3">
      <c r="W731" s="4"/>
      <c r="X731" s="4"/>
      <c r="Y731" s="4"/>
    </row>
    <row r="732" spans="23:25" x14ac:dyDescent="0.3">
      <c r="W732" s="4"/>
      <c r="X732" s="4"/>
      <c r="Y732" s="4"/>
    </row>
    <row r="733" spans="23:25" x14ac:dyDescent="0.3">
      <c r="W733" s="4"/>
      <c r="X733" s="4"/>
      <c r="Y733" s="4"/>
    </row>
    <row r="734" spans="23:25" x14ac:dyDescent="0.3">
      <c r="W734" s="4"/>
      <c r="X734" s="4"/>
      <c r="Y734" s="4"/>
    </row>
    <row r="735" spans="23:25" x14ac:dyDescent="0.3">
      <c r="W735" s="4"/>
      <c r="X735" s="4"/>
      <c r="Y735" s="4"/>
    </row>
    <row r="736" spans="23:25" x14ac:dyDescent="0.3">
      <c r="W736" s="4"/>
      <c r="X736" s="4"/>
      <c r="Y736" s="4"/>
    </row>
    <row r="737" spans="23:25" x14ac:dyDescent="0.3">
      <c r="W737" s="4"/>
      <c r="X737" s="4"/>
      <c r="Y737" s="4"/>
    </row>
    <row r="738" spans="23:25" x14ac:dyDescent="0.3">
      <c r="W738" s="4"/>
      <c r="X738" s="4"/>
      <c r="Y738" s="4"/>
    </row>
    <row r="739" spans="23:25" x14ac:dyDescent="0.3">
      <c r="W739" s="4"/>
      <c r="X739" s="4"/>
      <c r="Y739" s="4"/>
    </row>
    <row r="740" spans="23:25" x14ac:dyDescent="0.3">
      <c r="W740" s="4"/>
      <c r="X740" s="4"/>
      <c r="Y740" s="4"/>
    </row>
    <row r="741" spans="23:25" x14ac:dyDescent="0.3">
      <c r="W741" s="4"/>
      <c r="X741" s="4"/>
      <c r="Y741" s="4"/>
    </row>
    <row r="742" spans="23:25" x14ac:dyDescent="0.3">
      <c r="W742" s="4"/>
      <c r="X742" s="4"/>
      <c r="Y742" s="4"/>
    </row>
    <row r="743" spans="23:25" x14ac:dyDescent="0.3">
      <c r="W743" s="4"/>
      <c r="X743" s="4"/>
      <c r="Y743" s="4"/>
    </row>
    <row r="744" spans="23:25" x14ac:dyDescent="0.3">
      <c r="W744" s="4"/>
      <c r="X744" s="4"/>
      <c r="Y744" s="4"/>
    </row>
    <row r="745" spans="23:25" x14ac:dyDescent="0.3">
      <c r="W745" s="4"/>
      <c r="X745" s="4"/>
      <c r="Y745" s="4"/>
    </row>
    <row r="746" spans="23:25" x14ac:dyDescent="0.3">
      <c r="W746" s="4"/>
      <c r="X746" s="4"/>
      <c r="Y746" s="4"/>
    </row>
    <row r="747" spans="23:25" x14ac:dyDescent="0.3">
      <c r="W747" s="4"/>
      <c r="X747" s="4"/>
      <c r="Y747" s="4"/>
    </row>
    <row r="748" spans="23:25" x14ac:dyDescent="0.3">
      <c r="W748" s="4"/>
      <c r="X748" s="4"/>
      <c r="Y748" s="4"/>
    </row>
    <row r="749" spans="23:25" x14ac:dyDescent="0.3">
      <c r="W749" s="4"/>
      <c r="X749" s="4"/>
      <c r="Y749" s="4"/>
    </row>
    <row r="750" spans="23:25" x14ac:dyDescent="0.3">
      <c r="W750" s="4"/>
      <c r="X750" s="4"/>
      <c r="Y750" s="4"/>
    </row>
    <row r="751" spans="23:25" x14ac:dyDescent="0.3">
      <c r="W751" s="4"/>
      <c r="X751" s="4"/>
      <c r="Y751" s="4"/>
    </row>
    <row r="752" spans="23:25" x14ac:dyDescent="0.3">
      <c r="W752" s="4"/>
      <c r="X752" s="4"/>
      <c r="Y752" s="4"/>
    </row>
    <row r="753" spans="23:25" x14ac:dyDescent="0.3">
      <c r="W753" s="4"/>
      <c r="X753" s="4"/>
      <c r="Y753" s="4"/>
    </row>
    <row r="754" spans="23:25" x14ac:dyDescent="0.3">
      <c r="W754" s="4"/>
      <c r="X754" s="4"/>
      <c r="Y754" s="4"/>
    </row>
    <row r="755" spans="23:25" x14ac:dyDescent="0.3">
      <c r="W755" s="4"/>
      <c r="X755" s="4"/>
      <c r="Y755" s="4"/>
    </row>
    <row r="756" spans="23:25" x14ac:dyDescent="0.3">
      <c r="W756" s="4"/>
      <c r="X756" s="4"/>
      <c r="Y756" s="4"/>
    </row>
    <row r="757" spans="23:25" x14ac:dyDescent="0.3">
      <c r="W757" s="4"/>
      <c r="X757" s="4"/>
      <c r="Y757" s="4"/>
    </row>
    <row r="758" spans="23:25" x14ac:dyDescent="0.3">
      <c r="W758" s="4"/>
      <c r="X758" s="4"/>
      <c r="Y758" s="4"/>
    </row>
    <row r="759" spans="23:25" x14ac:dyDescent="0.3">
      <c r="W759" s="4"/>
      <c r="X759" s="4"/>
      <c r="Y759" s="4"/>
    </row>
    <row r="760" spans="23:25" x14ac:dyDescent="0.3">
      <c r="W760" s="4"/>
      <c r="X760" s="4"/>
      <c r="Y760" s="4"/>
    </row>
    <row r="761" spans="23:25" x14ac:dyDescent="0.3">
      <c r="W761" s="4"/>
      <c r="X761" s="4"/>
      <c r="Y761" s="4"/>
    </row>
    <row r="762" spans="23:25" x14ac:dyDescent="0.3">
      <c r="W762" s="4"/>
      <c r="X762" s="4"/>
      <c r="Y762" s="4"/>
    </row>
    <row r="763" spans="23:25" x14ac:dyDescent="0.3">
      <c r="W763" s="4"/>
      <c r="X763" s="4"/>
      <c r="Y763" s="4"/>
    </row>
    <row r="764" spans="23:25" x14ac:dyDescent="0.3">
      <c r="W764" s="4"/>
      <c r="X764" s="4"/>
      <c r="Y764" s="4"/>
    </row>
    <row r="765" spans="23:25" x14ac:dyDescent="0.3">
      <c r="W765" s="4"/>
      <c r="X765" s="4"/>
      <c r="Y765" s="4"/>
    </row>
    <row r="766" spans="23:25" x14ac:dyDescent="0.3">
      <c r="W766" s="4"/>
      <c r="X766" s="4"/>
      <c r="Y766" s="4"/>
    </row>
    <row r="767" spans="23:25" x14ac:dyDescent="0.3">
      <c r="W767" s="4"/>
      <c r="X767" s="4"/>
      <c r="Y767" s="4"/>
    </row>
    <row r="768" spans="23:25" x14ac:dyDescent="0.3">
      <c r="W768" s="4"/>
      <c r="X768" s="4"/>
      <c r="Y768" s="4"/>
    </row>
    <row r="769" spans="23:25" x14ac:dyDescent="0.3">
      <c r="W769" s="4"/>
      <c r="X769" s="4"/>
      <c r="Y769" s="4"/>
    </row>
    <row r="770" spans="23:25" x14ac:dyDescent="0.3">
      <c r="W770" s="4"/>
      <c r="X770" s="4"/>
      <c r="Y770" s="4"/>
    </row>
    <row r="771" spans="23:25" x14ac:dyDescent="0.3">
      <c r="W771" s="4"/>
      <c r="X771" s="4"/>
      <c r="Y771" s="4"/>
    </row>
    <row r="772" spans="23:25" x14ac:dyDescent="0.3">
      <c r="W772" s="4"/>
      <c r="X772" s="4"/>
      <c r="Y772" s="4"/>
    </row>
    <row r="773" spans="23:25" x14ac:dyDescent="0.3">
      <c r="W773" s="4"/>
      <c r="X773" s="4"/>
      <c r="Y773" s="4"/>
    </row>
    <row r="774" spans="23:25" x14ac:dyDescent="0.3">
      <c r="W774" s="4"/>
      <c r="X774" s="4"/>
      <c r="Y774" s="4"/>
    </row>
    <row r="775" spans="23:25" x14ac:dyDescent="0.3">
      <c r="W775" s="4"/>
      <c r="X775" s="4"/>
      <c r="Y775" s="4"/>
    </row>
    <row r="776" spans="23:25" x14ac:dyDescent="0.3">
      <c r="W776" s="4"/>
      <c r="X776" s="4"/>
      <c r="Y776" s="4"/>
    </row>
    <row r="777" spans="23:25" x14ac:dyDescent="0.3">
      <c r="W777" s="4"/>
      <c r="X777" s="4"/>
      <c r="Y777" s="4"/>
    </row>
    <row r="778" spans="23:25" x14ac:dyDescent="0.3">
      <c r="W778" s="4"/>
      <c r="X778" s="4"/>
      <c r="Y778" s="4"/>
    </row>
    <row r="779" spans="23:25" x14ac:dyDescent="0.3">
      <c r="W779" s="4"/>
      <c r="X779" s="4"/>
      <c r="Y779" s="4"/>
    </row>
    <row r="780" spans="23:25" x14ac:dyDescent="0.3">
      <c r="W780" s="4"/>
      <c r="X780" s="4"/>
      <c r="Y780" s="4"/>
    </row>
    <row r="781" spans="23:25" x14ac:dyDescent="0.3">
      <c r="W781" s="4"/>
      <c r="X781" s="4"/>
      <c r="Y781" s="4"/>
    </row>
    <row r="782" spans="23:25" x14ac:dyDescent="0.3">
      <c r="W782" s="4"/>
      <c r="X782" s="4"/>
      <c r="Y782" s="4"/>
    </row>
    <row r="783" spans="23:25" x14ac:dyDescent="0.3">
      <c r="W783" s="4"/>
      <c r="X783" s="4"/>
      <c r="Y783" s="4"/>
    </row>
    <row r="784" spans="23:25" x14ac:dyDescent="0.3">
      <c r="W784" s="4"/>
      <c r="X784" s="4"/>
      <c r="Y784" s="4"/>
    </row>
    <row r="785" spans="23:25" x14ac:dyDescent="0.3">
      <c r="W785" s="4"/>
      <c r="X785" s="4"/>
      <c r="Y785" s="4"/>
    </row>
    <row r="786" spans="23:25" x14ac:dyDescent="0.3">
      <c r="W786" s="4"/>
      <c r="X786" s="4"/>
      <c r="Y786" s="4"/>
    </row>
    <row r="787" spans="23:25" x14ac:dyDescent="0.3">
      <c r="W787" s="4"/>
      <c r="X787" s="4"/>
      <c r="Y787" s="4"/>
    </row>
    <row r="788" spans="23:25" x14ac:dyDescent="0.3">
      <c r="W788" s="4"/>
      <c r="X788" s="4"/>
      <c r="Y788" s="4"/>
    </row>
    <row r="789" spans="23:25" x14ac:dyDescent="0.3">
      <c r="W789" s="4"/>
      <c r="X789" s="4"/>
      <c r="Y789" s="4"/>
    </row>
    <row r="790" spans="23:25" x14ac:dyDescent="0.3">
      <c r="W790" s="4"/>
      <c r="X790" s="4"/>
      <c r="Y790" s="4"/>
    </row>
    <row r="791" spans="23:25" x14ac:dyDescent="0.3">
      <c r="W791" s="4"/>
      <c r="X791" s="4"/>
      <c r="Y791" s="4"/>
    </row>
    <row r="792" spans="23:25" x14ac:dyDescent="0.3">
      <c r="W792" s="4"/>
      <c r="X792" s="4"/>
      <c r="Y792" s="4"/>
    </row>
    <row r="793" spans="23:25" x14ac:dyDescent="0.3">
      <c r="W793" s="4"/>
      <c r="X793" s="4"/>
      <c r="Y793" s="4"/>
    </row>
    <row r="794" spans="23:25" x14ac:dyDescent="0.3">
      <c r="W794" s="4"/>
      <c r="X794" s="4"/>
      <c r="Y794" s="4"/>
    </row>
    <row r="795" spans="23:25" x14ac:dyDescent="0.3">
      <c r="W795" s="4"/>
      <c r="X795" s="4"/>
      <c r="Y795" s="4"/>
    </row>
    <row r="796" spans="23:25" x14ac:dyDescent="0.3">
      <c r="W796" s="4"/>
      <c r="X796" s="4"/>
      <c r="Y796" s="4"/>
    </row>
    <row r="797" spans="23:25" x14ac:dyDescent="0.3">
      <c r="W797" s="4"/>
      <c r="X797" s="4"/>
      <c r="Y797" s="4"/>
    </row>
    <row r="798" spans="23:25" x14ac:dyDescent="0.3">
      <c r="W798" s="4"/>
      <c r="X798" s="4"/>
      <c r="Y798" s="4"/>
    </row>
    <row r="799" spans="23:25" x14ac:dyDescent="0.3">
      <c r="W799" s="4"/>
      <c r="X799" s="4"/>
      <c r="Y799" s="4"/>
    </row>
    <row r="800" spans="23:25" x14ac:dyDescent="0.3">
      <c r="W800" s="4"/>
      <c r="X800" s="4"/>
      <c r="Y800" s="4"/>
    </row>
    <row r="801" spans="23:25" x14ac:dyDescent="0.3">
      <c r="W801" s="4"/>
      <c r="X801" s="4"/>
      <c r="Y801" s="4"/>
    </row>
    <row r="802" spans="23:25" x14ac:dyDescent="0.3">
      <c r="W802" s="4"/>
      <c r="X802" s="4"/>
      <c r="Y802" s="4"/>
    </row>
    <row r="803" spans="23:25" x14ac:dyDescent="0.3">
      <c r="W803" s="4"/>
      <c r="X803" s="4"/>
      <c r="Y803" s="4"/>
    </row>
    <row r="804" spans="23:25" x14ac:dyDescent="0.3">
      <c r="W804" s="4"/>
      <c r="X804" s="4"/>
      <c r="Y804" s="4"/>
    </row>
    <row r="805" spans="23:25" x14ac:dyDescent="0.3">
      <c r="W805" s="4"/>
      <c r="X805" s="4"/>
      <c r="Y805" s="4"/>
    </row>
    <row r="806" spans="23:25" x14ac:dyDescent="0.3">
      <c r="W806" s="4"/>
      <c r="X806" s="4"/>
      <c r="Y806" s="4"/>
    </row>
    <row r="807" spans="23:25" x14ac:dyDescent="0.3">
      <c r="W807" s="4"/>
      <c r="X807" s="4"/>
      <c r="Y807" s="4"/>
    </row>
    <row r="808" spans="23:25" x14ac:dyDescent="0.3">
      <c r="W808" s="4"/>
      <c r="X808" s="4"/>
      <c r="Y808" s="4"/>
    </row>
    <row r="809" spans="23:25" x14ac:dyDescent="0.3">
      <c r="W809" s="4"/>
      <c r="X809" s="4"/>
      <c r="Y809" s="4"/>
    </row>
    <row r="810" spans="23:25" x14ac:dyDescent="0.3">
      <c r="W810" s="4"/>
      <c r="X810" s="4"/>
      <c r="Y810" s="4"/>
    </row>
    <row r="811" spans="23:25" x14ac:dyDescent="0.3">
      <c r="W811" s="4"/>
      <c r="X811" s="4"/>
      <c r="Y811" s="4"/>
    </row>
    <row r="812" spans="23:25" x14ac:dyDescent="0.3">
      <c r="W812" s="4"/>
      <c r="X812" s="4"/>
      <c r="Y812" s="4"/>
    </row>
    <row r="813" spans="23:25" x14ac:dyDescent="0.3">
      <c r="W813" s="4"/>
      <c r="X813" s="4"/>
      <c r="Y813" s="4"/>
    </row>
    <row r="814" spans="23:25" x14ac:dyDescent="0.3">
      <c r="W814" s="4"/>
      <c r="X814" s="4"/>
      <c r="Y814" s="4"/>
    </row>
    <row r="815" spans="23:25" x14ac:dyDescent="0.3">
      <c r="W815" s="4"/>
      <c r="X815" s="4"/>
      <c r="Y815" s="4"/>
    </row>
    <row r="816" spans="23:25" x14ac:dyDescent="0.3">
      <c r="W816" s="4"/>
      <c r="X816" s="4"/>
      <c r="Y816" s="4"/>
    </row>
    <row r="817" spans="23:25" x14ac:dyDescent="0.3">
      <c r="W817" s="4"/>
      <c r="X817" s="4"/>
      <c r="Y817" s="4"/>
    </row>
    <row r="818" spans="23:25" x14ac:dyDescent="0.3">
      <c r="W818" s="4"/>
      <c r="X818" s="4"/>
      <c r="Y818" s="4"/>
    </row>
    <row r="819" spans="23:25" x14ac:dyDescent="0.3">
      <c r="W819" s="4"/>
      <c r="X819" s="4"/>
      <c r="Y819" s="4"/>
    </row>
    <row r="820" spans="23:25" x14ac:dyDescent="0.3">
      <c r="W820" s="4"/>
      <c r="X820" s="4"/>
      <c r="Y820" s="4"/>
    </row>
    <row r="821" spans="23:25" x14ac:dyDescent="0.3">
      <c r="W821" s="4"/>
      <c r="X821" s="4"/>
      <c r="Y821" s="4"/>
    </row>
    <row r="822" spans="23:25" x14ac:dyDescent="0.3">
      <c r="W822" s="4"/>
      <c r="X822" s="4"/>
      <c r="Y822" s="4"/>
    </row>
    <row r="823" spans="23:25" x14ac:dyDescent="0.3">
      <c r="W823" s="4"/>
      <c r="X823" s="4"/>
      <c r="Y823" s="4"/>
    </row>
    <row r="824" spans="23:25" x14ac:dyDescent="0.3">
      <c r="W824" s="4"/>
      <c r="X824" s="4"/>
      <c r="Y824" s="4"/>
    </row>
    <row r="825" spans="23:25" x14ac:dyDescent="0.3">
      <c r="W825" s="4"/>
      <c r="X825" s="4"/>
      <c r="Y825" s="4"/>
    </row>
    <row r="826" spans="23:25" x14ac:dyDescent="0.3">
      <c r="W826" s="4"/>
      <c r="X826" s="4"/>
      <c r="Y826" s="4"/>
    </row>
    <row r="827" spans="23:25" x14ac:dyDescent="0.3">
      <c r="W827" s="4"/>
      <c r="X827" s="4"/>
      <c r="Y827" s="4"/>
    </row>
    <row r="828" spans="23:25" x14ac:dyDescent="0.3">
      <c r="W828" s="4"/>
      <c r="X828" s="4"/>
      <c r="Y828" s="4"/>
    </row>
    <row r="829" spans="23:25" x14ac:dyDescent="0.3">
      <c r="W829" s="4"/>
      <c r="X829" s="4"/>
      <c r="Y829" s="4"/>
    </row>
    <row r="830" spans="23:25" x14ac:dyDescent="0.3">
      <c r="W830" s="4"/>
      <c r="X830" s="4"/>
      <c r="Y830" s="4"/>
    </row>
    <row r="831" spans="23:25" x14ac:dyDescent="0.3">
      <c r="W831" s="4"/>
      <c r="X831" s="4"/>
      <c r="Y831" s="4"/>
    </row>
    <row r="832" spans="23:25" x14ac:dyDescent="0.3">
      <c r="W832" s="4"/>
      <c r="X832" s="4"/>
      <c r="Y832" s="4"/>
    </row>
    <row r="833" spans="23:25" x14ac:dyDescent="0.3">
      <c r="W833" s="4"/>
      <c r="X833" s="4"/>
      <c r="Y833" s="4"/>
    </row>
    <row r="834" spans="23:25" x14ac:dyDescent="0.3">
      <c r="W834" s="4"/>
      <c r="X834" s="4"/>
      <c r="Y834" s="4"/>
    </row>
    <row r="835" spans="23:25" x14ac:dyDescent="0.3">
      <c r="W835" s="4"/>
      <c r="X835" s="4"/>
      <c r="Y835" s="4"/>
    </row>
    <row r="836" spans="23:25" x14ac:dyDescent="0.3">
      <c r="W836" s="4"/>
      <c r="X836" s="4"/>
      <c r="Y836" s="4"/>
    </row>
    <row r="837" spans="23:25" x14ac:dyDescent="0.3">
      <c r="W837" s="4"/>
      <c r="X837" s="4"/>
      <c r="Y837" s="4"/>
    </row>
    <row r="838" spans="23:25" x14ac:dyDescent="0.3">
      <c r="W838" s="4"/>
      <c r="X838" s="4"/>
      <c r="Y838" s="4"/>
    </row>
    <row r="839" spans="23:25" x14ac:dyDescent="0.3">
      <c r="W839" s="4"/>
      <c r="X839" s="4"/>
      <c r="Y839" s="4"/>
    </row>
    <row r="840" spans="23:25" x14ac:dyDescent="0.3">
      <c r="W840" s="4"/>
      <c r="X840" s="4"/>
      <c r="Y840" s="4"/>
    </row>
    <row r="841" spans="23:25" x14ac:dyDescent="0.3">
      <c r="W841" s="4"/>
      <c r="X841" s="4"/>
      <c r="Y841" s="4"/>
    </row>
    <row r="842" spans="23:25" x14ac:dyDescent="0.3">
      <c r="W842" s="4"/>
      <c r="X842" s="4"/>
      <c r="Y842" s="4"/>
    </row>
    <row r="843" spans="23:25" x14ac:dyDescent="0.3">
      <c r="W843" s="4"/>
      <c r="X843" s="4"/>
      <c r="Y843" s="4"/>
    </row>
    <row r="844" spans="23:25" x14ac:dyDescent="0.3">
      <c r="W844" s="4"/>
      <c r="X844" s="4"/>
      <c r="Y844" s="4"/>
    </row>
    <row r="845" spans="23:25" x14ac:dyDescent="0.3">
      <c r="W845" s="4"/>
      <c r="X845" s="4"/>
      <c r="Y845" s="4"/>
    </row>
    <row r="846" spans="23:25" x14ac:dyDescent="0.3">
      <c r="W846" s="4"/>
      <c r="X846" s="4"/>
      <c r="Y846" s="4"/>
    </row>
    <row r="847" spans="23:25" x14ac:dyDescent="0.3">
      <c r="W847" s="4"/>
      <c r="X847" s="4"/>
      <c r="Y847" s="4"/>
    </row>
    <row r="848" spans="23:25" x14ac:dyDescent="0.3">
      <c r="W848" s="4"/>
      <c r="X848" s="4"/>
      <c r="Y848" s="4"/>
    </row>
    <row r="849" spans="23:25" x14ac:dyDescent="0.3">
      <c r="W849" s="4"/>
      <c r="X849" s="4"/>
      <c r="Y849" s="4"/>
    </row>
    <row r="850" spans="23:25" x14ac:dyDescent="0.3">
      <c r="W850" s="4"/>
      <c r="X850" s="4"/>
      <c r="Y850" s="4"/>
    </row>
    <row r="851" spans="23:25" x14ac:dyDescent="0.3">
      <c r="W851" s="4"/>
      <c r="X851" s="4"/>
      <c r="Y851" s="4"/>
    </row>
    <row r="852" spans="23:25" x14ac:dyDescent="0.3">
      <c r="W852" s="4"/>
      <c r="X852" s="4"/>
      <c r="Y852" s="4"/>
    </row>
    <row r="853" spans="23:25" x14ac:dyDescent="0.3">
      <c r="W853" s="4"/>
      <c r="X853" s="4"/>
      <c r="Y853" s="4"/>
    </row>
    <row r="854" spans="23:25" x14ac:dyDescent="0.3">
      <c r="W854" s="4"/>
      <c r="X854" s="4"/>
      <c r="Y854" s="4"/>
    </row>
    <row r="855" spans="23:25" x14ac:dyDescent="0.3">
      <c r="W855" s="4"/>
      <c r="X855" s="4"/>
      <c r="Y855" s="4"/>
    </row>
    <row r="856" spans="23:25" x14ac:dyDescent="0.3">
      <c r="W856" s="4"/>
      <c r="X856" s="4"/>
      <c r="Y856" s="4"/>
    </row>
    <row r="857" spans="23:25" x14ac:dyDescent="0.3">
      <c r="W857" s="4"/>
      <c r="X857" s="4"/>
      <c r="Y857" s="4"/>
    </row>
    <row r="858" spans="23:25" x14ac:dyDescent="0.3">
      <c r="W858" s="4"/>
      <c r="X858" s="4"/>
      <c r="Y858" s="4"/>
    </row>
    <row r="859" spans="23:25" x14ac:dyDescent="0.3">
      <c r="W859" s="4"/>
      <c r="X859" s="4"/>
      <c r="Y859" s="4"/>
    </row>
    <row r="860" spans="23:25" x14ac:dyDescent="0.3">
      <c r="W860" s="4"/>
      <c r="X860" s="4"/>
      <c r="Y860" s="4"/>
    </row>
    <row r="861" spans="23:25" x14ac:dyDescent="0.3">
      <c r="W861" s="4"/>
      <c r="X861" s="4"/>
      <c r="Y861" s="4"/>
    </row>
    <row r="862" spans="23:25" x14ac:dyDescent="0.3">
      <c r="W862" s="4"/>
      <c r="X862" s="4"/>
      <c r="Y862" s="4"/>
    </row>
    <row r="863" spans="23:25" x14ac:dyDescent="0.3">
      <c r="W863" s="4"/>
      <c r="X863" s="4"/>
      <c r="Y863" s="4"/>
    </row>
    <row r="864" spans="23:25" x14ac:dyDescent="0.3">
      <c r="W864" s="4"/>
      <c r="X864" s="4"/>
      <c r="Y864" s="4"/>
    </row>
    <row r="865" spans="23:25" x14ac:dyDescent="0.3">
      <c r="W865" s="4"/>
      <c r="X865" s="4"/>
      <c r="Y865" s="4"/>
    </row>
    <row r="866" spans="23:25" x14ac:dyDescent="0.3">
      <c r="W866" s="4"/>
      <c r="X866" s="4"/>
      <c r="Y866" s="4"/>
    </row>
    <row r="867" spans="23:25" x14ac:dyDescent="0.3">
      <c r="W867" s="4"/>
      <c r="X867" s="4"/>
      <c r="Y86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C380-F0A6-421F-AF82-1F07D28BB5BD}">
  <dimension ref="A1:AR604"/>
  <sheetViews>
    <sheetView workbookViewId="0">
      <selection activeCell="S19" sqref="S19"/>
    </sheetView>
  </sheetViews>
  <sheetFormatPr defaultRowHeight="14.4" x14ac:dyDescent="0.3"/>
  <cols>
    <col min="3" max="3" width="30.21875" customWidth="1"/>
    <col min="4" max="4" width="10.6640625" customWidth="1"/>
    <col min="5" max="5" width="10.44140625" customWidth="1"/>
    <col min="6" max="6" width="11" customWidth="1"/>
    <col min="7" max="7" width="10.109375" customWidth="1"/>
    <col min="10" max="10" width="10.6640625" customWidth="1"/>
    <col min="11" max="11" width="1.5546875" customWidth="1"/>
    <col min="12" max="12" width="1" customWidth="1"/>
    <col min="13" max="13" width="9.109375"/>
  </cols>
  <sheetData>
    <row r="1" spans="1:40" x14ac:dyDescent="0.3">
      <c r="A1" s="18"/>
      <c r="B1" s="18"/>
      <c r="C1" s="19"/>
      <c r="D1" s="19"/>
      <c r="E1" s="19"/>
      <c r="F1" s="19"/>
      <c r="G1" s="19"/>
      <c r="H1" s="19"/>
      <c r="I1" s="19"/>
      <c r="J1" s="18"/>
      <c r="K1" s="5"/>
      <c r="L1" s="5"/>
      <c r="M1" s="4"/>
      <c r="N1" s="40" t="s">
        <v>10</v>
      </c>
      <c r="O1" s="40" t="s">
        <v>26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3">
      <c r="A2" s="7" t="s">
        <v>106</v>
      </c>
      <c r="K2" s="5"/>
      <c r="L2" s="5"/>
      <c r="M2" s="4"/>
      <c r="N2" s="4" t="s">
        <v>107</v>
      </c>
      <c r="O2" s="4" t="s">
        <v>110</v>
      </c>
      <c r="P2" s="4" t="s">
        <v>111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0" x14ac:dyDescent="0.3">
      <c r="K3" s="5"/>
      <c r="L3" s="5"/>
      <c r="M3" s="4"/>
      <c r="N3" s="4" t="s">
        <v>108</v>
      </c>
      <c r="O3" s="4" t="s">
        <v>112</v>
      </c>
      <c r="P3" s="4" t="s">
        <v>113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3">
      <c r="K4" s="5"/>
      <c r="L4" s="5"/>
      <c r="M4" s="4"/>
      <c r="N4" s="4" t="s">
        <v>109</v>
      </c>
      <c r="O4" s="4" t="s">
        <v>114</v>
      </c>
      <c r="P4" s="4" t="s">
        <v>115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1:40" x14ac:dyDescent="0.3">
      <c r="K5" s="5"/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ht="14.4" customHeight="1" x14ac:dyDescent="0.3">
      <c r="A6" s="18"/>
      <c r="B6" s="18"/>
      <c r="C6" s="19"/>
      <c r="D6" s="19"/>
      <c r="E6" s="19"/>
      <c r="F6" s="19"/>
      <c r="G6" s="19"/>
      <c r="H6" s="19"/>
      <c r="I6" s="19"/>
      <c r="J6" s="19"/>
      <c r="K6" s="5"/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14.4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0"/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 ht="14.4" customHeight="1" x14ac:dyDescent="0.3">
      <c r="A8" s="14"/>
      <c r="B8" s="14"/>
      <c r="C8" s="93" t="s">
        <v>27</v>
      </c>
      <c r="D8" s="93"/>
      <c r="E8" s="93"/>
      <c r="F8" s="93"/>
      <c r="G8" s="93"/>
      <c r="H8" s="93"/>
      <c r="I8" s="93"/>
      <c r="J8" s="14"/>
      <c r="K8" s="10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1:40" ht="14.4" customHeight="1" x14ac:dyDescent="0.3">
      <c r="D9">
        <v>1</v>
      </c>
      <c r="E9">
        <v>2</v>
      </c>
      <c r="F9">
        <v>3</v>
      </c>
      <c r="G9">
        <v>4</v>
      </c>
      <c r="H9">
        <v>5</v>
      </c>
      <c r="I9">
        <v>6</v>
      </c>
      <c r="J9" s="41"/>
      <c r="K9" s="10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 ht="14.4" customHeight="1" x14ac:dyDescent="0.3">
      <c r="C10" t="s">
        <v>10</v>
      </c>
      <c r="D10" s="130" t="s">
        <v>116</v>
      </c>
      <c r="E10" s="130" t="s">
        <v>107</v>
      </c>
      <c r="F10" s="130" t="s">
        <v>108</v>
      </c>
      <c r="G10" s="130" t="s">
        <v>109</v>
      </c>
      <c r="H10" s="14"/>
      <c r="I10" s="102"/>
      <c r="J10" s="41"/>
      <c r="K10" s="10"/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1:40" ht="14.4" customHeight="1" x14ac:dyDescent="0.3">
      <c r="C11" t="s">
        <v>28</v>
      </c>
      <c r="D11" s="6">
        <v>46051</v>
      </c>
      <c r="E11" s="6">
        <v>46055</v>
      </c>
      <c r="F11" s="42">
        <v>46058</v>
      </c>
      <c r="G11" s="43">
        <v>46049</v>
      </c>
      <c r="H11" s="43"/>
      <c r="I11" s="41"/>
      <c r="J11" s="41"/>
      <c r="K11" s="10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1:40" ht="14.4" customHeight="1" x14ac:dyDescent="0.3">
      <c r="C12" t="s">
        <v>29</v>
      </c>
      <c r="D12" s="42">
        <v>46022</v>
      </c>
      <c r="E12" s="42">
        <v>46022</v>
      </c>
      <c r="F12" s="42">
        <v>46022</v>
      </c>
      <c r="G12" s="43">
        <v>45838</v>
      </c>
      <c r="H12" s="43"/>
      <c r="I12" s="41"/>
      <c r="J12" s="41"/>
      <c r="K12" s="10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 ht="14.4" customHeight="1" x14ac:dyDescent="0.3">
      <c r="C13" t="s">
        <v>30</v>
      </c>
      <c r="D13" s="75">
        <v>655.66</v>
      </c>
      <c r="E13" s="75">
        <v>192.4</v>
      </c>
      <c r="F13" s="75">
        <v>12.15</v>
      </c>
      <c r="G13" s="75">
        <v>485.2</v>
      </c>
      <c r="H13" s="45"/>
      <c r="I13" s="103"/>
      <c r="J13" s="41"/>
      <c r="K13" s="10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pans="1:40" ht="14.4" customHeight="1" x14ac:dyDescent="0.3">
      <c r="C14" t="s">
        <v>31</v>
      </c>
      <c r="D14" s="42">
        <v>46075</v>
      </c>
      <c r="E14" s="42">
        <v>46075</v>
      </c>
      <c r="F14" s="42">
        <v>46075</v>
      </c>
      <c r="G14" s="42">
        <v>46075</v>
      </c>
      <c r="H14" s="45"/>
      <c r="I14" s="103"/>
      <c r="J14" s="41"/>
      <c r="K14" s="10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1:40" ht="14.4" customHeight="1" x14ac:dyDescent="0.3">
      <c r="D15" s="14"/>
      <c r="E15" s="14"/>
      <c r="F15" s="14"/>
      <c r="G15" s="14"/>
      <c r="H15" s="14"/>
      <c r="I15" s="102"/>
      <c r="J15" s="41"/>
      <c r="K15" s="10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ht="14.4" customHeight="1" x14ac:dyDescent="0.3">
      <c r="C16" s="93" t="s">
        <v>32</v>
      </c>
      <c r="D16" s="93"/>
      <c r="E16" s="93"/>
      <c r="F16" s="93"/>
      <c r="G16" s="93"/>
      <c r="H16" s="93"/>
      <c r="I16" s="104"/>
      <c r="J16" s="41"/>
      <c r="K16" s="10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1:40" ht="14.4" customHeight="1" x14ac:dyDescent="0.3">
      <c r="C17" t="s">
        <v>33</v>
      </c>
      <c r="D17" s="12">
        <v>2510</v>
      </c>
      <c r="E17" s="12">
        <v>12150</v>
      </c>
      <c r="F17" s="12">
        <v>1650</v>
      </c>
      <c r="G17" s="12">
        <v>7430</v>
      </c>
      <c r="H17" s="43"/>
      <c r="I17" s="41"/>
      <c r="J17" s="41"/>
      <c r="K17" s="10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14.4" customHeight="1" x14ac:dyDescent="0.3">
      <c r="C18" t="s">
        <v>34</v>
      </c>
      <c r="D18" s="12">
        <v>40</v>
      </c>
      <c r="E18" s="12">
        <v>180</v>
      </c>
      <c r="F18" s="12">
        <v>95</v>
      </c>
      <c r="G18" s="12">
        <v>110</v>
      </c>
      <c r="H18" s="43"/>
      <c r="I18" s="41"/>
      <c r="J18" s="41"/>
      <c r="K18" s="10"/>
      <c r="L18" s="5"/>
      <c r="M18" s="4"/>
      <c r="N18" s="4"/>
      <c r="O18" s="89"/>
      <c r="P18" s="89"/>
      <c r="Q18" s="89"/>
      <c r="R18" s="8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14.4" customHeight="1" x14ac:dyDescent="0.3">
      <c r="C19" t="s">
        <v>35</v>
      </c>
      <c r="D19" s="12">
        <v>0</v>
      </c>
      <c r="E19" s="12">
        <v>0</v>
      </c>
      <c r="F19" s="12">
        <v>45</v>
      </c>
      <c r="G19" s="12">
        <v>0</v>
      </c>
      <c r="H19" s="43"/>
      <c r="I19" s="41"/>
      <c r="J19" s="41"/>
      <c r="K19" s="10"/>
      <c r="L19" s="5"/>
      <c r="M19" s="4"/>
      <c r="N19" s="4"/>
      <c r="O19" s="89"/>
      <c r="P19" s="89"/>
      <c r="Q19" s="89"/>
      <c r="R19" s="8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ht="14.4" customHeight="1" x14ac:dyDescent="0.3">
      <c r="C20" t="s">
        <v>119</v>
      </c>
      <c r="D20" s="46">
        <v>0</v>
      </c>
      <c r="E20" s="12">
        <v>0</v>
      </c>
      <c r="F20" s="12">
        <v>0</v>
      </c>
      <c r="G20" s="12">
        <v>0</v>
      </c>
      <c r="H20" s="43"/>
      <c r="I20" s="41"/>
      <c r="J20" s="41"/>
      <c r="K20" s="10"/>
      <c r="L20" s="5"/>
      <c r="M20" s="4"/>
      <c r="N20" s="4"/>
      <c r="O20" s="90"/>
      <c r="P20" s="90"/>
      <c r="Q20" s="90"/>
      <c r="R20" s="90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1:40" ht="14.4" customHeight="1" x14ac:dyDescent="0.3">
      <c r="C21" s="1" t="s">
        <v>36</v>
      </c>
      <c r="D21" s="47">
        <v>2550</v>
      </c>
      <c r="E21" s="47">
        <f t="shared" ref="E21:G21" si="0">SUM(E17:E20)</f>
        <v>12330</v>
      </c>
      <c r="F21" s="47">
        <f t="shared" si="0"/>
        <v>1790</v>
      </c>
      <c r="G21" s="47">
        <f t="shared" si="0"/>
        <v>7540</v>
      </c>
      <c r="H21" s="48"/>
      <c r="I21" s="48"/>
      <c r="J21" s="41"/>
      <c r="K21" s="10"/>
      <c r="L21" s="5"/>
      <c r="M21" s="4"/>
      <c r="N21" s="4"/>
      <c r="O21" s="89"/>
      <c r="P21" s="89"/>
      <c r="Q21" s="89"/>
      <c r="R21" s="8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0" ht="14.4" customHeight="1" x14ac:dyDescent="0.3">
      <c r="C22" s="1"/>
      <c r="D22" s="48"/>
      <c r="E22" s="48"/>
      <c r="F22" s="48"/>
      <c r="G22" s="48"/>
      <c r="H22" s="48"/>
      <c r="I22" s="48"/>
      <c r="J22" s="49"/>
      <c r="K22" s="10"/>
      <c r="L22" s="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1:40" ht="14.4" customHeight="1" x14ac:dyDescent="0.3">
      <c r="C23" s="1"/>
      <c r="D23" s="48"/>
      <c r="E23" s="48"/>
      <c r="F23" s="48"/>
      <c r="G23" s="48"/>
      <c r="H23" s="48"/>
      <c r="I23" s="48"/>
      <c r="J23" s="41"/>
      <c r="K23" s="10"/>
      <c r="L23" s="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pans="1:40" ht="14.4" customHeight="1" x14ac:dyDescent="0.3">
      <c r="J24" s="41"/>
      <c r="K24" s="10"/>
      <c r="L24" s="5"/>
      <c r="M24" s="4"/>
      <c r="N24" s="4"/>
      <c r="O24" s="91"/>
      <c r="P24" s="91"/>
      <c r="Q24" s="91"/>
      <c r="R24" s="9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0" ht="14.4" customHeight="1" x14ac:dyDescent="0.3">
      <c r="A25" s="1"/>
      <c r="B25" s="1"/>
      <c r="C25" s="20" t="s">
        <v>37</v>
      </c>
      <c r="D25" s="19"/>
      <c r="E25" s="19"/>
      <c r="F25" s="19"/>
      <c r="G25" s="19"/>
      <c r="H25" s="19"/>
      <c r="I25" s="19"/>
      <c r="J25" s="41"/>
      <c r="K25" s="10"/>
      <c r="L25" s="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pans="1:40" ht="14.4" customHeight="1" x14ac:dyDescent="0.3">
      <c r="A26" s="1"/>
      <c r="B26" s="52"/>
      <c r="C26" s="52"/>
      <c r="D26" s="52"/>
      <c r="E26" s="52"/>
      <c r="F26" s="52"/>
      <c r="G26" s="52"/>
      <c r="H26" s="52"/>
      <c r="I26" s="43"/>
      <c r="J26" s="51"/>
      <c r="K26" s="10"/>
      <c r="L26" s="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spans="1:40" ht="14.4" customHeight="1" x14ac:dyDescent="0.3">
      <c r="A27" s="1"/>
      <c r="B27" s="1"/>
      <c r="C27" s="13" t="s">
        <v>38</v>
      </c>
      <c r="D27" s="13"/>
      <c r="E27" s="13"/>
      <c r="F27" s="13"/>
      <c r="G27" s="13"/>
      <c r="H27" s="13"/>
      <c r="I27" s="13"/>
      <c r="J27" s="51"/>
      <c r="K27" s="10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 ht="14.4" customHeight="1" x14ac:dyDescent="0.3">
      <c r="A28" s="1"/>
      <c r="C28" s="14"/>
      <c r="D28" s="50" t="s">
        <v>116</v>
      </c>
      <c r="E28" s="50" t="str">
        <f t="shared" ref="D28:I28" si="1">E$10</f>
        <v>GOOGL</v>
      </c>
      <c r="F28" s="50" t="str">
        <f t="shared" si="1"/>
        <v>SNAP</v>
      </c>
      <c r="G28" s="50" t="str">
        <f t="shared" si="1"/>
        <v>MSFT</v>
      </c>
      <c r="H28" s="50">
        <f t="shared" si="1"/>
        <v>0</v>
      </c>
      <c r="I28" s="50">
        <f t="shared" si="1"/>
        <v>0</v>
      </c>
      <c r="J28" s="51"/>
      <c r="K28" s="10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0" ht="14.4" customHeight="1" x14ac:dyDescent="0.3">
      <c r="C29" t="s">
        <v>39</v>
      </c>
      <c r="D29" s="12">
        <v>200965</v>
      </c>
      <c r="E29" s="12">
        <v>402836</v>
      </c>
      <c r="F29" s="12">
        <v>5931</v>
      </c>
      <c r="G29" s="12">
        <v>281724</v>
      </c>
      <c r="H29" s="52"/>
      <c r="I29" s="43"/>
      <c r="J29" s="51"/>
      <c r="K29" s="10"/>
      <c r="L29" s="5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 ht="14.4" customHeight="1" x14ac:dyDescent="0.3">
      <c r="C30" t="s">
        <v>0</v>
      </c>
      <c r="D30" s="12">
        <v>36175</v>
      </c>
      <c r="E30" s="12">
        <v>134846</v>
      </c>
      <c r="F30" s="12">
        <v>2720</v>
      </c>
      <c r="G30" s="12">
        <v>87830</v>
      </c>
      <c r="H30" s="53"/>
      <c r="I30" s="117"/>
      <c r="J30" s="51"/>
      <c r="K30" s="10"/>
      <c r="L30" s="5"/>
      <c r="M30" s="4"/>
      <c r="N30" s="4"/>
      <c r="O30" s="91"/>
      <c r="P30" s="91"/>
      <c r="Q30" s="91"/>
      <c r="R30" s="9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1:40" ht="14.4" customHeight="1" x14ac:dyDescent="0.3">
      <c r="C31" s="1" t="s">
        <v>40</v>
      </c>
      <c r="D31" s="11">
        <v>164790</v>
      </c>
      <c r="E31" s="11">
        <f t="shared" ref="E31:G31" si="2">E29-E30</f>
        <v>267990</v>
      </c>
      <c r="F31" s="11">
        <f t="shared" si="2"/>
        <v>3211</v>
      </c>
      <c r="G31" s="11">
        <f t="shared" si="2"/>
        <v>193894</v>
      </c>
      <c r="H31" s="54"/>
      <c r="I31" s="117"/>
      <c r="J31" s="51"/>
      <c r="K31" s="10"/>
      <c r="L31" s="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spans="1:40" ht="14.4" customHeight="1" x14ac:dyDescent="0.3">
      <c r="C32" s="51" t="s">
        <v>5</v>
      </c>
      <c r="D32" s="121">
        <v>57372</v>
      </c>
      <c r="E32" s="121">
        <v>52140</v>
      </c>
      <c r="F32" s="121">
        <v>1765</v>
      </c>
      <c r="G32" s="121">
        <v>32800</v>
      </c>
      <c r="H32" s="52"/>
      <c r="I32" s="52"/>
      <c r="J32" s="52"/>
      <c r="K32" s="10"/>
      <c r="L32" s="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spans="3:40" ht="14.4" customHeight="1" x14ac:dyDescent="0.3">
      <c r="C33" s="51" t="s">
        <v>41</v>
      </c>
      <c r="D33" s="121">
        <v>24143</v>
      </c>
      <c r="E33" s="121">
        <v>86810</v>
      </c>
      <c r="F33" s="121">
        <v>1978</v>
      </c>
      <c r="G33" s="121">
        <v>32566</v>
      </c>
      <c r="H33" s="52"/>
      <c r="I33" s="52"/>
      <c r="J33" s="52"/>
      <c r="K33" s="10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3:40" ht="14.4" customHeight="1" x14ac:dyDescent="0.3">
      <c r="C34" s="1" t="s">
        <v>4</v>
      </c>
      <c r="D34" s="11">
        <v>83275</v>
      </c>
      <c r="E34" s="11">
        <f t="shared" ref="E34:G34" si="3">E31-E32-E33</f>
        <v>129040</v>
      </c>
      <c r="F34" s="11">
        <f t="shared" si="3"/>
        <v>-532</v>
      </c>
      <c r="G34" s="11">
        <f t="shared" si="3"/>
        <v>128528</v>
      </c>
      <c r="H34" s="55"/>
      <c r="I34" s="119"/>
      <c r="J34" s="51"/>
      <c r="K34" s="10"/>
      <c r="L34" s="5"/>
      <c r="M34" s="4"/>
      <c r="N34" s="56"/>
      <c r="O34" s="4"/>
      <c r="P34" s="4"/>
      <c r="Q34" s="4"/>
      <c r="R34" s="4"/>
      <c r="S34" s="4"/>
      <c r="T34" s="4"/>
      <c r="U34" s="4"/>
      <c r="V34" s="4"/>
      <c r="W34" s="91"/>
      <c r="X34" s="91"/>
      <c r="Y34" s="91"/>
      <c r="Z34" s="91"/>
      <c r="AA34" s="91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3:40" ht="14.4" customHeight="1" x14ac:dyDescent="0.3">
      <c r="C35" t="s">
        <v>42</v>
      </c>
      <c r="D35" s="12">
        <v>2656</v>
      </c>
      <c r="E35" s="12">
        <v>3450</v>
      </c>
      <c r="F35" s="12">
        <v>-122</v>
      </c>
      <c r="G35" s="12">
        <v>1020</v>
      </c>
      <c r="H35" s="52"/>
      <c r="I35" s="120"/>
      <c r="J35" s="51"/>
      <c r="K35" s="10"/>
      <c r="L35" s="5"/>
      <c r="M35" s="4"/>
      <c r="N35" s="4"/>
      <c r="O35" s="91"/>
      <c r="P35" s="91"/>
      <c r="Q35" s="4"/>
      <c r="R35" s="4"/>
      <c r="S35" s="4"/>
      <c r="T35" s="4"/>
      <c r="U35" s="4"/>
      <c r="V35" s="4"/>
      <c r="W35" s="91"/>
      <c r="X35" s="91"/>
      <c r="Y35" s="91"/>
      <c r="Z35" s="91"/>
      <c r="AA35" s="91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3:40" ht="14.4" customHeight="1" x14ac:dyDescent="0.3">
      <c r="C36" s="1" t="s">
        <v>43</v>
      </c>
      <c r="D36" s="11">
        <v>85931</v>
      </c>
      <c r="E36" s="11">
        <f>SUM(E34:E35)</f>
        <v>132490</v>
      </c>
      <c r="F36" s="11">
        <f>SUM(F34:F35)</f>
        <v>-654</v>
      </c>
      <c r="G36" s="11">
        <f>SUM(G34:G35)</f>
        <v>129548</v>
      </c>
      <c r="H36" s="11"/>
      <c r="I36" s="62"/>
      <c r="J36" s="51"/>
      <c r="K36" s="10"/>
      <c r="L36" s="5"/>
      <c r="M36" s="4"/>
      <c r="N36" s="4"/>
      <c r="O36" s="91"/>
      <c r="P36" s="91"/>
      <c r="Q36" s="4"/>
      <c r="R36" s="4"/>
      <c r="S36" s="4"/>
      <c r="T36" s="4"/>
      <c r="U36" s="4"/>
      <c r="V36" s="4"/>
      <c r="W36" s="4"/>
      <c r="X36" s="91"/>
      <c r="Y36" s="91"/>
      <c r="Z36" s="91"/>
      <c r="AA36" s="91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3:40" ht="14.4" customHeight="1" x14ac:dyDescent="0.3">
      <c r="C37" t="s">
        <v>44</v>
      </c>
      <c r="D37" s="12">
        <v>20162</v>
      </c>
      <c r="E37" s="12">
        <v>26498</v>
      </c>
      <c r="F37" s="12">
        <v>9</v>
      </c>
      <c r="G37" s="12">
        <v>27716</v>
      </c>
      <c r="H37" s="52"/>
      <c r="I37" s="120"/>
      <c r="J37" s="51"/>
      <c r="K37" s="10"/>
      <c r="L37" s="5"/>
      <c r="M37" s="4"/>
      <c r="N37" s="4"/>
      <c r="O37" s="91"/>
      <c r="P37" s="91"/>
      <c r="Q37" s="4"/>
      <c r="R37" s="4"/>
      <c r="S37" s="4"/>
      <c r="T37" s="4"/>
      <c r="U37" s="4"/>
      <c r="V37" s="4"/>
      <c r="W37" s="4"/>
      <c r="X37" s="91"/>
      <c r="Y37" s="91"/>
      <c r="Z37" s="91"/>
      <c r="AA37" s="91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spans="3:40" ht="14.4" customHeight="1" x14ac:dyDescent="0.3">
      <c r="C38" t="s">
        <v>45</v>
      </c>
      <c r="D38" s="11">
        <v>65769</v>
      </c>
      <c r="E38" s="11">
        <f t="shared" ref="E38:G38" si="4">E36-E37</f>
        <v>105992</v>
      </c>
      <c r="F38" s="11">
        <f t="shared" si="4"/>
        <v>-663</v>
      </c>
      <c r="G38" s="11">
        <f t="shared" si="4"/>
        <v>101832</v>
      </c>
      <c r="H38" s="54"/>
      <c r="I38" s="66"/>
      <c r="J38" s="51"/>
      <c r="K38" s="10"/>
      <c r="L38" s="5"/>
      <c r="M38" s="4"/>
      <c r="N38" s="4"/>
      <c r="O38" s="91"/>
      <c r="P38" s="91"/>
      <c r="Q38" s="4"/>
      <c r="R38" s="4"/>
      <c r="S38" s="4"/>
      <c r="T38" s="4"/>
      <c r="U38" s="4"/>
      <c r="V38" s="4"/>
      <c r="W38" s="4"/>
      <c r="X38" s="91"/>
      <c r="Y38" s="91"/>
      <c r="Z38" s="91"/>
      <c r="AA38" s="91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spans="3:40" ht="14.4" customHeight="1" x14ac:dyDescent="0.3">
      <c r="C39" s="1" t="s">
        <v>46</v>
      </c>
      <c r="D39" s="94">
        <v>25.551282051282051</v>
      </c>
      <c r="E39" s="94">
        <v>8.42</v>
      </c>
      <c r="F39" s="94">
        <v>-0.27</v>
      </c>
      <c r="G39" s="94">
        <v>13.64</v>
      </c>
      <c r="H39" s="57"/>
      <c r="I39" s="63"/>
      <c r="J39" s="51"/>
      <c r="K39" s="10"/>
      <c r="L39" s="5"/>
      <c r="M39" s="4"/>
      <c r="N39" s="4"/>
      <c r="O39" s="91"/>
      <c r="P39" s="91"/>
      <c r="Q39" s="4"/>
      <c r="R39" s="4"/>
      <c r="S39" s="4"/>
      <c r="T39" s="4"/>
      <c r="U39" s="4"/>
      <c r="V39" s="4"/>
      <c r="W39" s="4"/>
      <c r="X39" s="91"/>
      <c r="Y39" s="91"/>
      <c r="Z39" s="91"/>
      <c r="AA39" s="91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3:40" ht="14.4" customHeight="1" x14ac:dyDescent="0.3">
      <c r="C40" s="1"/>
      <c r="D40" s="14"/>
      <c r="E40" s="14"/>
      <c r="F40" s="14"/>
      <c r="G40" s="14"/>
      <c r="H40" s="14"/>
      <c r="I40" s="64"/>
      <c r="J40" s="51"/>
      <c r="K40" s="10"/>
      <c r="L40" s="5"/>
      <c r="M40" s="4"/>
      <c r="N40" s="4"/>
      <c r="O40" s="91"/>
      <c r="P40" s="91"/>
      <c r="Q40" s="4"/>
      <c r="R40" s="4"/>
      <c r="S40" s="4"/>
      <c r="T40" s="4"/>
      <c r="U40" s="4"/>
      <c r="V40" s="4"/>
      <c r="W40" s="4"/>
      <c r="X40" s="91"/>
      <c r="Y40" s="91"/>
      <c r="Z40" s="4"/>
      <c r="AA40" s="91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3:40" ht="14.4" customHeight="1" x14ac:dyDescent="0.3">
      <c r="C41" s="58" t="s">
        <v>3</v>
      </c>
      <c r="D41" s="12">
        <v>18616</v>
      </c>
      <c r="E41" s="12">
        <v>17450</v>
      </c>
      <c r="F41" s="12">
        <v>1221</v>
      </c>
      <c r="G41" s="59">
        <v>21500</v>
      </c>
      <c r="H41" s="12"/>
      <c r="I41" s="46"/>
      <c r="J41" s="51"/>
      <c r="K41" s="10"/>
      <c r="L41" s="5"/>
      <c r="M41" s="4"/>
      <c r="N41" s="4"/>
      <c r="O41" s="91"/>
      <c r="P41" s="91"/>
      <c r="Q41" s="4"/>
      <c r="R41" s="4"/>
      <c r="S41" s="4"/>
      <c r="T41" s="4"/>
      <c r="U41" s="4"/>
      <c r="V41" s="4"/>
      <c r="W41" s="4"/>
      <c r="X41" s="91"/>
      <c r="Y41" s="91"/>
      <c r="Z41" s="4"/>
      <c r="AA41" s="91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spans="3:40" ht="14.4" customHeight="1" x14ac:dyDescent="0.3">
      <c r="C42" s="1" t="s">
        <v>1</v>
      </c>
      <c r="D42" s="11">
        <v>101891</v>
      </c>
      <c r="E42" s="11">
        <f>E34+E41</f>
        <v>146490</v>
      </c>
      <c r="F42" s="11">
        <f>F34+F41</f>
        <v>689</v>
      </c>
      <c r="G42" s="11">
        <f>G34+G41</f>
        <v>150028</v>
      </c>
      <c r="H42" s="11"/>
      <c r="I42" s="62"/>
      <c r="J42" s="51"/>
      <c r="K42" s="10"/>
      <c r="L42" s="5"/>
      <c r="M42" s="4"/>
      <c r="N42" s="56"/>
      <c r="O42" s="91"/>
      <c r="P42" s="91"/>
      <c r="Q42" s="4"/>
      <c r="R42" s="4"/>
      <c r="S42" s="4"/>
      <c r="T42" s="4"/>
      <c r="U42" s="4"/>
      <c r="V42" s="4"/>
      <c r="W42" s="4"/>
      <c r="X42" s="91"/>
      <c r="Y42" s="91"/>
      <c r="Z42" s="4"/>
      <c r="AA42" s="91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spans="3:40" ht="14.4" customHeight="1" x14ac:dyDescent="0.3">
      <c r="D43" s="60"/>
      <c r="E43" s="60"/>
      <c r="F43" s="60"/>
      <c r="G43" s="60"/>
      <c r="H43" s="60"/>
      <c r="I43" s="101"/>
      <c r="J43" s="51"/>
      <c r="K43" s="10"/>
      <c r="L43" s="5"/>
      <c r="M43" s="4"/>
      <c r="N43" s="4"/>
      <c r="O43" s="91"/>
      <c r="P43" s="91"/>
      <c r="Q43" s="4"/>
      <c r="R43" s="4"/>
      <c r="S43" s="4"/>
      <c r="T43" s="4"/>
      <c r="U43" s="4"/>
      <c r="V43" s="4"/>
      <c r="W43" s="4"/>
      <c r="X43" s="91"/>
      <c r="Y43" s="91"/>
      <c r="Z43" s="4"/>
      <c r="AA43" s="91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3:40" ht="14.4" customHeight="1" x14ac:dyDescent="0.3">
      <c r="C44" s="13" t="s">
        <v>47</v>
      </c>
      <c r="D44" s="13"/>
      <c r="E44" s="13"/>
      <c r="F44" s="13"/>
      <c r="G44" s="13"/>
      <c r="H44" s="13"/>
      <c r="I44" s="13"/>
      <c r="J44" s="51"/>
      <c r="K44" s="10"/>
      <c r="L44" s="5"/>
      <c r="M44" s="4"/>
      <c r="N44" s="4"/>
      <c r="O44" s="91"/>
      <c r="P44" s="91"/>
      <c r="Q44" s="4"/>
      <c r="R44" s="4"/>
      <c r="S44" s="4"/>
      <c r="T44" s="4"/>
      <c r="U44" s="4"/>
      <c r="V44" s="4"/>
      <c r="W44" s="4"/>
      <c r="X44" s="91"/>
      <c r="Y44" s="91"/>
      <c r="Z44" s="4"/>
      <c r="AA44" s="91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3:40" ht="14.4" customHeight="1" x14ac:dyDescent="0.3">
      <c r="D45" s="50" t="s">
        <v>116</v>
      </c>
      <c r="E45" s="50" t="str">
        <f t="shared" ref="D45:I45" si="5">E$10</f>
        <v>GOOGL</v>
      </c>
      <c r="F45" s="50" t="str">
        <f t="shared" si="5"/>
        <v>SNAP</v>
      </c>
      <c r="G45" s="50" t="str">
        <f t="shared" si="5"/>
        <v>MSFT</v>
      </c>
      <c r="H45" s="61">
        <f t="shared" si="5"/>
        <v>0</v>
      </c>
      <c r="I45" s="61">
        <f t="shared" si="5"/>
        <v>0</v>
      </c>
      <c r="J45" s="51"/>
      <c r="K45" s="10"/>
      <c r="L45" s="5"/>
      <c r="M45" s="4"/>
      <c r="N45" s="4"/>
      <c r="O45" s="90"/>
      <c r="P45" s="90"/>
      <c r="Q45" s="4"/>
      <c r="R45" s="4"/>
      <c r="S45" s="4"/>
      <c r="T45" s="4"/>
      <c r="U45" s="4"/>
      <c r="V45" s="4"/>
      <c r="W45" s="4"/>
      <c r="X45" s="90"/>
      <c r="Y45" s="90"/>
      <c r="Z45" s="90"/>
      <c r="AA45" s="90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3:40" ht="14.4" customHeight="1" x14ac:dyDescent="0.3">
      <c r="C46" t="s">
        <v>39</v>
      </c>
      <c r="D46" s="12">
        <v>59893</v>
      </c>
      <c r="E46" s="12">
        <v>99800</v>
      </c>
      <c r="F46" s="12">
        <v>1716</v>
      </c>
      <c r="G46" s="12">
        <v>76441</v>
      </c>
      <c r="H46" s="46"/>
      <c r="I46" s="46"/>
      <c r="J46" s="51"/>
      <c r="K46" s="10"/>
      <c r="L46" s="5"/>
      <c r="M46" s="4"/>
      <c r="N46" s="4"/>
      <c r="O46" s="91"/>
      <c r="P46" s="91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3:40" ht="14.4" customHeight="1" x14ac:dyDescent="0.3">
      <c r="C47" t="s">
        <v>0</v>
      </c>
      <c r="D47" s="12">
        <v>10906</v>
      </c>
      <c r="E47" s="12">
        <v>42914</v>
      </c>
      <c r="F47" s="12">
        <v>703</v>
      </c>
      <c r="G47" s="12">
        <v>23697</v>
      </c>
      <c r="H47" s="46"/>
      <c r="I47" s="46"/>
      <c r="J47" s="51"/>
      <c r="K47" s="10"/>
      <c r="L47" s="5"/>
      <c r="M47" s="4"/>
      <c r="N47" s="4"/>
      <c r="O47" s="91"/>
      <c r="P47" s="91"/>
      <c r="Q47" s="4"/>
      <c r="R47" s="4"/>
      <c r="S47" s="4"/>
      <c r="T47" s="4"/>
      <c r="U47" s="4"/>
      <c r="V47" s="4"/>
      <c r="W47" s="4"/>
      <c r="X47" s="91"/>
      <c r="Y47" s="91"/>
      <c r="Z47" s="91"/>
      <c r="AA47" s="91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3:40" ht="14.4" customHeight="1" x14ac:dyDescent="0.3">
      <c r="C48" t="s">
        <v>40</v>
      </c>
      <c r="D48" s="11">
        <v>48987</v>
      </c>
      <c r="E48" s="11">
        <f t="shared" ref="E48:G48" si="6">E46-E47</f>
        <v>56886</v>
      </c>
      <c r="F48" s="11">
        <f t="shared" si="6"/>
        <v>1013</v>
      </c>
      <c r="G48" s="11">
        <f t="shared" si="6"/>
        <v>52744</v>
      </c>
      <c r="H48" s="46"/>
      <c r="I48" s="46"/>
      <c r="J48" s="51"/>
      <c r="K48" s="10"/>
      <c r="L48" s="5"/>
      <c r="M48" s="4"/>
      <c r="N48" s="4"/>
      <c r="O48" s="91"/>
      <c r="P48" s="91"/>
      <c r="Q48" s="91"/>
      <c r="R48" s="91"/>
      <c r="S48" s="91"/>
      <c r="T48" s="4"/>
      <c r="U48" s="4"/>
      <c r="V48" s="4"/>
      <c r="W48" s="4"/>
      <c r="X48" s="91"/>
      <c r="Y48" s="91"/>
      <c r="Z48" s="4"/>
      <c r="AA48" s="91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3:40" ht="14.4" customHeight="1" x14ac:dyDescent="0.3">
      <c r="C49" s="51" t="s">
        <v>5</v>
      </c>
      <c r="D49" s="12">
        <v>17136</v>
      </c>
      <c r="E49" s="12">
        <v>14037</v>
      </c>
      <c r="F49" s="12">
        <v>245</v>
      </c>
      <c r="G49" s="12">
        <v>6412</v>
      </c>
      <c r="H49" s="46"/>
      <c r="I49" s="46"/>
      <c r="J49" s="51"/>
      <c r="K49" s="10"/>
      <c r="L49" s="5"/>
      <c r="M49" s="4"/>
      <c r="N49" s="4"/>
      <c r="O49" s="91"/>
      <c r="P49" s="91"/>
      <c r="Q49" s="91"/>
      <c r="R49" s="91"/>
      <c r="S49" s="91"/>
      <c r="T49" s="91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3:40" ht="14.4" customHeight="1" x14ac:dyDescent="0.3">
      <c r="C50" s="51" t="s">
        <v>41</v>
      </c>
      <c r="D50" s="12">
        <v>7107</v>
      </c>
      <c r="E50" s="12">
        <v>11112</v>
      </c>
      <c r="F50" s="12">
        <v>718</v>
      </c>
      <c r="G50" s="12">
        <v>11990</v>
      </c>
      <c r="H50" s="46"/>
      <c r="I50" s="46"/>
      <c r="J50" s="51"/>
      <c r="K50" s="10"/>
      <c r="L50" s="5"/>
      <c r="M50" s="4"/>
      <c r="N50" s="4"/>
      <c r="O50" s="91"/>
      <c r="P50" s="91"/>
      <c r="Q50" s="91"/>
      <c r="R50" s="91"/>
      <c r="S50" s="91"/>
      <c r="T50" s="91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3:40" ht="14.4" customHeight="1" x14ac:dyDescent="0.3">
      <c r="C51" s="1" t="s">
        <v>4</v>
      </c>
      <c r="D51" s="11">
        <v>24744</v>
      </c>
      <c r="E51" s="11">
        <f t="shared" ref="E51:G51" si="7">E48-E49-E50</f>
        <v>31737</v>
      </c>
      <c r="F51" s="11">
        <f t="shared" si="7"/>
        <v>50</v>
      </c>
      <c r="G51" s="11">
        <f t="shared" si="7"/>
        <v>34342</v>
      </c>
      <c r="H51" s="62"/>
      <c r="I51" s="62"/>
      <c r="J51" s="51"/>
      <c r="K51" s="10"/>
      <c r="L51" s="5"/>
      <c r="M51" s="4"/>
      <c r="N51" s="4"/>
      <c r="O51" s="91"/>
      <c r="P51" s="91"/>
      <c r="Q51" s="91"/>
      <c r="R51" s="91"/>
      <c r="S51" s="91"/>
      <c r="T51" s="91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3:40" ht="14.4" customHeight="1" x14ac:dyDescent="0.3">
      <c r="C52" t="s">
        <v>42</v>
      </c>
      <c r="D52" s="12">
        <v>608</v>
      </c>
      <c r="E52" s="12">
        <v>-525</v>
      </c>
      <c r="F52" s="12">
        <v>-11</v>
      </c>
      <c r="G52" s="12">
        <v>-1225</v>
      </c>
      <c r="H52" s="46"/>
      <c r="I52" s="46"/>
      <c r="J52" s="51"/>
      <c r="K52" s="10"/>
      <c r="L52" s="5"/>
      <c r="M52" s="4"/>
      <c r="N52" s="4"/>
      <c r="O52" s="91"/>
      <c r="P52" s="91"/>
      <c r="Q52" s="91"/>
      <c r="R52" s="91"/>
      <c r="S52" s="91"/>
      <c r="T52" s="91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3:40" ht="14.4" customHeight="1" x14ac:dyDescent="0.3">
      <c r="C53" s="1" t="s">
        <v>43</v>
      </c>
      <c r="D53" s="11">
        <v>25352</v>
      </c>
      <c r="E53" s="11">
        <f>SUM(E51:E52)</f>
        <v>31212</v>
      </c>
      <c r="F53" s="11">
        <f>SUM(F51:F52)</f>
        <v>39</v>
      </c>
      <c r="G53" s="11">
        <f>SUM(G51:G52)</f>
        <v>33117</v>
      </c>
      <c r="H53" s="62"/>
      <c r="I53" s="62"/>
      <c r="J53" s="51"/>
      <c r="K53" s="10"/>
      <c r="L53" s="5"/>
      <c r="M53" s="4"/>
      <c r="N53" s="4"/>
      <c r="O53" s="91"/>
      <c r="P53" s="91"/>
      <c r="Q53" s="91"/>
      <c r="R53" s="91"/>
      <c r="S53" s="91"/>
      <c r="T53" s="91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3:40" ht="14.4" customHeight="1" x14ac:dyDescent="0.3">
      <c r="C54" t="s">
        <v>44</v>
      </c>
      <c r="D54" s="12">
        <v>2586</v>
      </c>
      <c r="E54" s="12">
        <v>7446</v>
      </c>
      <c r="F54" s="12">
        <v>21</v>
      </c>
      <c r="G54" s="12">
        <v>6382</v>
      </c>
      <c r="H54" s="46"/>
      <c r="I54" s="46"/>
      <c r="J54" s="51"/>
      <c r="K54" s="10"/>
      <c r="L54" s="5"/>
      <c r="M54" s="4"/>
      <c r="N54" s="4"/>
      <c r="O54" s="91"/>
      <c r="P54" s="91"/>
      <c r="Q54" s="91"/>
      <c r="R54" s="91"/>
      <c r="S54" s="91"/>
      <c r="T54" s="91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3:40" ht="14.4" customHeight="1" x14ac:dyDescent="0.3">
      <c r="C55" t="s">
        <v>45</v>
      </c>
      <c r="D55" s="11">
        <v>27938</v>
      </c>
      <c r="E55" s="11">
        <f t="shared" ref="E55:G55" si="8">SUM(E53:E54)</f>
        <v>38658</v>
      </c>
      <c r="F55" s="11">
        <f t="shared" si="8"/>
        <v>60</v>
      </c>
      <c r="G55" s="11">
        <f t="shared" si="8"/>
        <v>39499</v>
      </c>
      <c r="H55" s="46"/>
      <c r="I55" s="46"/>
      <c r="J55" s="51"/>
      <c r="K55" s="10"/>
      <c r="L55" s="5"/>
      <c r="M55" s="4"/>
      <c r="N55" s="4"/>
      <c r="O55" s="91"/>
      <c r="P55" s="91"/>
      <c r="Q55" s="91"/>
      <c r="R55" s="91"/>
      <c r="S55" s="91"/>
      <c r="T55" s="91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3:40" ht="14.4" customHeight="1" x14ac:dyDescent="0.3">
      <c r="C56" s="1" t="s">
        <v>46</v>
      </c>
      <c r="D56" s="94">
        <v>8.8756335282651069</v>
      </c>
      <c r="E56" s="94">
        <v>2.68</v>
      </c>
      <c r="F56" s="94">
        <v>0.03</v>
      </c>
      <c r="G56" s="94">
        <v>3.65</v>
      </c>
      <c r="H56" s="63"/>
      <c r="I56" s="63"/>
      <c r="J56" s="51"/>
      <c r="K56" s="10"/>
      <c r="L56" s="5"/>
      <c r="M56" s="4"/>
      <c r="N56" s="4"/>
      <c r="O56" s="91"/>
      <c r="P56" s="91"/>
      <c r="Q56" s="91"/>
      <c r="R56" s="91"/>
      <c r="S56" s="91"/>
      <c r="T56" s="91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3:40" ht="14.4" customHeight="1" x14ac:dyDescent="0.3">
      <c r="C57" s="1"/>
      <c r="D57" s="14"/>
      <c r="E57" s="14"/>
      <c r="F57" s="14"/>
      <c r="G57" s="14"/>
      <c r="H57" s="64"/>
      <c r="I57" s="64"/>
      <c r="J57" s="51"/>
      <c r="K57" s="10"/>
      <c r="L57" s="5"/>
      <c r="M57" s="4"/>
      <c r="N57" s="4"/>
      <c r="O57" s="91"/>
      <c r="P57" s="91"/>
      <c r="Q57" s="91"/>
      <c r="R57" s="91"/>
      <c r="S57" s="91"/>
      <c r="T57" s="91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3:40" ht="14.4" customHeight="1" x14ac:dyDescent="0.3">
      <c r="C58" s="58" t="s">
        <v>3</v>
      </c>
      <c r="D58" s="12">
        <v>18616</v>
      </c>
      <c r="E58" s="12">
        <v>4100</v>
      </c>
      <c r="F58" s="12">
        <v>38</v>
      </c>
      <c r="G58" s="59">
        <v>4550</v>
      </c>
      <c r="H58" s="65"/>
      <c r="I58" s="65"/>
      <c r="J58" s="51"/>
      <c r="K58" s="10"/>
      <c r="L58" s="5"/>
      <c r="M58" s="4"/>
      <c r="N58" s="4"/>
      <c r="O58" s="91"/>
      <c r="P58" s="91"/>
      <c r="Q58" s="91"/>
      <c r="R58" s="91"/>
      <c r="S58" s="91"/>
      <c r="T58" s="91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3:40" ht="14.4" customHeight="1" x14ac:dyDescent="0.3">
      <c r="C59" s="1" t="s">
        <v>1</v>
      </c>
      <c r="D59" s="11">
        <v>43360</v>
      </c>
      <c r="E59" s="11">
        <f t="shared" ref="E59:G59" si="9">E51+E58</f>
        <v>35837</v>
      </c>
      <c r="F59" s="11">
        <f t="shared" si="9"/>
        <v>88</v>
      </c>
      <c r="G59" s="11">
        <f t="shared" si="9"/>
        <v>38892</v>
      </c>
      <c r="H59" s="66"/>
      <c r="I59" s="66"/>
      <c r="J59" s="51"/>
      <c r="K59" s="10"/>
      <c r="L59" s="5"/>
      <c r="M59" s="4"/>
      <c r="N59" s="4"/>
      <c r="O59" s="91"/>
      <c r="P59" s="91"/>
      <c r="Q59" s="91"/>
      <c r="R59" s="91"/>
      <c r="S59" s="91"/>
      <c r="T59" s="91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3:40" ht="14.4" customHeight="1" x14ac:dyDescent="0.3">
      <c r="I60" s="118"/>
      <c r="J60" s="51"/>
      <c r="K60" s="10"/>
      <c r="L60" s="5"/>
      <c r="M60" s="4"/>
      <c r="N60" s="4"/>
      <c r="O60" s="91"/>
      <c r="P60" s="91"/>
      <c r="Q60" s="91"/>
      <c r="R60" s="91"/>
      <c r="S60" s="91"/>
      <c r="T60" s="91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3:40" ht="14.4" customHeight="1" x14ac:dyDescent="0.3">
      <c r="C61" s="13" t="s">
        <v>48</v>
      </c>
      <c r="D61" s="13"/>
      <c r="E61" s="13"/>
      <c r="F61" s="13"/>
      <c r="G61" s="13"/>
      <c r="H61" s="13"/>
      <c r="I61" s="13"/>
      <c r="J61" s="51"/>
      <c r="K61" s="10"/>
      <c r="L61" s="5"/>
      <c r="M61" s="4"/>
      <c r="N61" s="4"/>
      <c r="O61" s="91"/>
      <c r="P61" s="91"/>
      <c r="Q61" s="91"/>
      <c r="R61" s="91"/>
      <c r="S61" s="91"/>
      <c r="T61" s="91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3:40" ht="14.4" customHeight="1" x14ac:dyDescent="0.3">
      <c r="D62" s="50" t="s">
        <v>116</v>
      </c>
      <c r="E62" s="50" t="str">
        <f t="shared" ref="D62:I62" si="10">E$10</f>
        <v>GOOGL</v>
      </c>
      <c r="F62" s="50" t="str">
        <f t="shared" si="10"/>
        <v>SNAP</v>
      </c>
      <c r="G62" s="50" t="str">
        <f t="shared" si="10"/>
        <v>MSFT</v>
      </c>
      <c r="H62" s="50">
        <f t="shared" si="10"/>
        <v>0</v>
      </c>
      <c r="I62" s="50">
        <f t="shared" si="10"/>
        <v>0</v>
      </c>
      <c r="J62" s="51"/>
      <c r="K62" s="10"/>
      <c r="L62" s="5"/>
      <c r="M62" s="4"/>
      <c r="N62" s="4"/>
      <c r="O62" s="91"/>
      <c r="P62" s="91"/>
      <c r="Q62" s="91"/>
      <c r="R62" s="91"/>
      <c r="S62" s="91"/>
      <c r="T62" s="91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3:40" ht="14.4" customHeight="1" x14ac:dyDescent="0.3">
      <c r="C63" t="s">
        <v>39</v>
      </c>
      <c r="D63" s="12">
        <v>48385</v>
      </c>
      <c r="E63" s="12">
        <v>96469</v>
      </c>
      <c r="F63" s="12">
        <v>1557</v>
      </c>
      <c r="G63" s="12">
        <v>69632</v>
      </c>
      <c r="H63" s="49"/>
      <c r="I63" s="49"/>
      <c r="J63" s="41"/>
      <c r="K63" s="10"/>
      <c r="L63" s="5"/>
      <c r="M63" s="4"/>
      <c r="N63" s="4"/>
      <c r="O63" s="91"/>
      <c r="P63" s="91"/>
      <c r="Q63" s="91"/>
      <c r="R63" s="91"/>
      <c r="S63" s="91"/>
      <c r="T63" s="91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3:40" ht="14.4" customHeight="1" x14ac:dyDescent="0.3">
      <c r="C64" t="s">
        <v>0</v>
      </c>
      <c r="D64" s="12">
        <v>8839</v>
      </c>
      <c r="E64" s="12">
        <v>14848</v>
      </c>
      <c r="F64" s="12">
        <v>654</v>
      </c>
      <c r="G64" s="12">
        <v>21799</v>
      </c>
      <c r="H64" s="49"/>
      <c r="I64" s="49"/>
      <c r="J64" s="41"/>
      <c r="K64" s="10"/>
      <c r="L64" s="5"/>
      <c r="M64" s="4"/>
      <c r="N64" s="4"/>
      <c r="O64" s="91"/>
      <c r="P64" s="91"/>
      <c r="Q64" s="91"/>
      <c r="R64" s="91"/>
      <c r="S64" s="91"/>
      <c r="T64" s="91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3:40" ht="14.4" customHeight="1" x14ac:dyDescent="0.3">
      <c r="C65" t="s">
        <v>40</v>
      </c>
      <c r="D65" s="11">
        <v>39546</v>
      </c>
      <c r="E65" s="11">
        <f t="shared" ref="E65:G65" si="11">E63-E64</f>
        <v>81621</v>
      </c>
      <c r="F65" s="11">
        <f t="shared" si="11"/>
        <v>903</v>
      </c>
      <c r="G65" s="11">
        <f t="shared" si="11"/>
        <v>47833</v>
      </c>
      <c r="H65" s="49"/>
      <c r="I65" s="49"/>
      <c r="J65" s="41"/>
      <c r="K65" s="10"/>
      <c r="L65" s="5"/>
      <c r="M65" s="4"/>
      <c r="N65" s="4"/>
      <c r="O65" s="91"/>
      <c r="P65" s="91"/>
      <c r="Q65" s="91"/>
      <c r="R65" s="91"/>
      <c r="S65" s="9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3:40" ht="14.4" customHeight="1" x14ac:dyDescent="0.3">
      <c r="C66" s="51" t="s">
        <v>5</v>
      </c>
      <c r="D66" s="12">
        <v>12180</v>
      </c>
      <c r="E66" s="12">
        <v>12500</v>
      </c>
      <c r="F66" s="12">
        <v>296</v>
      </c>
      <c r="G66" s="12">
        <v>7917</v>
      </c>
      <c r="H66" s="49"/>
      <c r="I66" s="49"/>
      <c r="J66" s="41"/>
      <c r="K66" s="10"/>
      <c r="L66" s="5"/>
      <c r="M66" s="4"/>
      <c r="N66" s="4"/>
      <c r="O66" s="91"/>
      <c r="P66" s="91"/>
      <c r="Q66" s="91"/>
      <c r="R66" s="91"/>
      <c r="S66" s="91"/>
      <c r="T66" s="91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3:40" ht="14.4" customHeight="1" x14ac:dyDescent="0.3">
      <c r="C67" s="51" t="s">
        <v>41</v>
      </c>
      <c r="D67" s="12">
        <v>4003</v>
      </c>
      <c r="E67" s="12">
        <v>38149</v>
      </c>
      <c r="F67" s="12">
        <v>634</v>
      </c>
      <c r="G67" s="12">
        <v>8263</v>
      </c>
      <c r="H67" s="49"/>
      <c r="I67" s="49"/>
      <c r="J67" s="41"/>
      <c r="K67" s="10"/>
      <c r="L67" s="5"/>
      <c r="M67" s="4"/>
      <c r="N67" s="4"/>
      <c r="O67" s="91"/>
      <c r="P67" s="91"/>
      <c r="Q67" s="91"/>
      <c r="R67" s="91"/>
      <c r="S67" s="91"/>
      <c r="T67" s="91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3:40" ht="14.4" customHeight="1" x14ac:dyDescent="0.3">
      <c r="C68" s="1" t="s">
        <v>4</v>
      </c>
      <c r="D68" s="11">
        <v>23363</v>
      </c>
      <c r="E68" s="11">
        <f t="shared" ref="E68:G68" si="12">E65-E66-E67</f>
        <v>30972</v>
      </c>
      <c r="F68" s="11">
        <f t="shared" si="12"/>
        <v>-27</v>
      </c>
      <c r="G68" s="11">
        <f t="shared" si="12"/>
        <v>31653</v>
      </c>
      <c r="H68" s="49"/>
      <c r="I68" s="49"/>
      <c r="J68" s="41"/>
      <c r="K68" s="10"/>
      <c r="L68" s="5"/>
      <c r="M68" s="4"/>
      <c r="N68" s="4"/>
      <c r="O68" s="91"/>
      <c r="P68" s="91"/>
      <c r="Q68" s="91"/>
      <c r="R68" s="91"/>
      <c r="S68" s="91"/>
      <c r="T68" s="91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3:40" ht="14.4" customHeight="1" x14ac:dyDescent="0.3">
      <c r="C69" t="s">
        <v>42</v>
      </c>
      <c r="D69" s="12">
        <v>188</v>
      </c>
      <c r="E69" s="12">
        <v>1271</v>
      </c>
      <c r="F69" s="12">
        <v>-11</v>
      </c>
      <c r="G69" s="12">
        <v>-2288</v>
      </c>
      <c r="H69" s="49"/>
      <c r="I69" s="49"/>
      <c r="J69" s="41"/>
      <c r="K69" s="10"/>
      <c r="L69" s="5"/>
      <c r="M69" s="4"/>
      <c r="N69" s="4"/>
      <c r="O69" s="91"/>
      <c r="P69" s="91"/>
      <c r="Q69" s="91"/>
      <c r="R69" s="91"/>
      <c r="S69" s="91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3:40" ht="14.4" customHeight="1" x14ac:dyDescent="0.3">
      <c r="C70" s="1" t="s">
        <v>43</v>
      </c>
      <c r="D70" s="11">
        <v>23551</v>
      </c>
      <c r="E70" s="11">
        <f>SUM(E68:E69)</f>
        <v>32243</v>
      </c>
      <c r="F70" s="11">
        <f>SUM(F68:F69)</f>
        <v>-38</v>
      </c>
      <c r="G70" s="11">
        <f>SUM(G68:G69)</f>
        <v>29365</v>
      </c>
      <c r="H70" s="49"/>
      <c r="I70" s="49"/>
      <c r="J70" s="41"/>
      <c r="K70" s="10"/>
      <c r="L70" s="5"/>
      <c r="M70" s="4"/>
      <c r="N70" s="4"/>
      <c r="O70" s="4"/>
      <c r="P70" s="91"/>
      <c r="Q70" s="91"/>
      <c r="R70" s="4"/>
      <c r="S70" s="9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3:40" ht="14.4" customHeight="1" x14ac:dyDescent="0.3">
      <c r="C71" t="s">
        <v>44</v>
      </c>
      <c r="D71" s="12">
        <v>2715</v>
      </c>
      <c r="E71" s="12">
        <v>5707</v>
      </c>
      <c r="F71" s="12">
        <v>-47</v>
      </c>
      <c r="G71" s="12">
        <v>5257</v>
      </c>
      <c r="H71" s="49"/>
      <c r="I71" s="49"/>
      <c r="J71" s="41"/>
      <c r="K71" s="10"/>
      <c r="L71" s="5"/>
      <c r="M71" s="4"/>
      <c r="N71" s="4"/>
      <c r="O71" s="91"/>
      <c r="P71" s="91"/>
      <c r="Q71" s="91"/>
      <c r="R71" s="91"/>
      <c r="S71" s="9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3:40" ht="14.4" customHeight="1" x14ac:dyDescent="0.3">
      <c r="C72" t="s">
        <v>45</v>
      </c>
      <c r="D72" s="11">
        <v>26266</v>
      </c>
      <c r="E72" s="11">
        <f t="shared" ref="E72:G72" si="13">SUM(E70:E71)</f>
        <v>37950</v>
      </c>
      <c r="F72" s="11">
        <f t="shared" si="13"/>
        <v>-85</v>
      </c>
      <c r="G72" s="11">
        <f t="shared" si="13"/>
        <v>34622</v>
      </c>
      <c r="H72" s="49"/>
      <c r="I72" s="49"/>
      <c r="J72" s="41"/>
      <c r="K72" s="10"/>
      <c r="L72" s="5"/>
      <c r="M72" s="4"/>
      <c r="N72" s="4"/>
      <c r="O72" s="91"/>
      <c r="P72" s="91"/>
      <c r="Q72" s="4"/>
      <c r="R72" s="9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spans="3:40" ht="14.4" customHeight="1" x14ac:dyDescent="0.3">
      <c r="C73" s="1" t="s">
        <v>46</v>
      </c>
      <c r="D73" s="94">
        <v>8.0169295883031939</v>
      </c>
      <c r="E73" s="94">
        <v>2.15</v>
      </c>
      <c r="F73" s="94">
        <v>0.01</v>
      </c>
      <c r="G73" s="94">
        <v>3.23</v>
      </c>
      <c r="H73" s="49"/>
      <c r="I73" s="49"/>
      <c r="J73" s="41"/>
      <c r="K73" s="10"/>
      <c r="L73" s="5"/>
      <c r="M73" s="4"/>
      <c r="N73" s="4"/>
      <c r="O73" s="4"/>
      <c r="P73" s="91"/>
      <c r="Q73" s="4"/>
      <c r="R73" s="9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spans="3:40" ht="14.4" customHeight="1" x14ac:dyDescent="0.3">
      <c r="C74" s="1"/>
      <c r="D74" s="14"/>
      <c r="E74" s="14"/>
      <c r="F74" s="14"/>
      <c r="G74" s="14"/>
      <c r="H74" s="49"/>
      <c r="I74" s="49"/>
      <c r="J74" s="41"/>
      <c r="K74" s="10"/>
      <c r="L74" s="5"/>
      <c r="M74" s="4"/>
      <c r="N74" s="4"/>
      <c r="O74" s="4"/>
      <c r="P74" s="91"/>
      <c r="Q74" s="91"/>
      <c r="R74" s="4"/>
      <c r="S74" s="9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spans="3:40" ht="14.4" customHeight="1" x14ac:dyDescent="0.3">
      <c r="C75" s="58" t="s">
        <v>3</v>
      </c>
      <c r="D75" s="12">
        <v>4460</v>
      </c>
      <c r="E75" s="12">
        <v>4500</v>
      </c>
      <c r="F75" s="12">
        <v>120</v>
      </c>
      <c r="G75" s="59">
        <v>5100</v>
      </c>
      <c r="H75" s="49"/>
      <c r="I75" s="49"/>
      <c r="J75" s="41"/>
      <c r="K75" s="10"/>
      <c r="L75" s="5"/>
      <c r="M75" s="4"/>
      <c r="N75" s="4"/>
      <c r="O75" s="4"/>
      <c r="P75" s="91"/>
      <c r="Q75" s="91"/>
      <c r="R75" s="4"/>
      <c r="S75" s="9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spans="3:40" ht="14.4" customHeight="1" x14ac:dyDescent="0.3">
      <c r="C76" s="1" t="s">
        <v>1</v>
      </c>
      <c r="D76" s="11">
        <v>27823</v>
      </c>
      <c r="E76" s="11">
        <f t="shared" ref="E76:G76" si="14">E68+E75</f>
        <v>35472</v>
      </c>
      <c r="F76" s="11">
        <f t="shared" si="14"/>
        <v>93</v>
      </c>
      <c r="G76" s="11">
        <f t="shared" si="14"/>
        <v>36753</v>
      </c>
      <c r="H76" s="3"/>
      <c r="I76" s="3"/>
      <c r="J76" s="41"/>
      <c r="K76" s="10"/>
      <c r="L76" s="5"/>
      <c r="M76" s="4"/>
      <c r="N76" s="4"/>
      <c r="O76" s="91"/>
      <c r="P76" s="91"/>
      <c r="Q76" s="4"/>
      <c r="R76" s="9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3:40" ht="14.4" customHeight="1" x14ac:dyDescent="0.3">
      <c r="J77" s="41"/>
      <c r="K77" s="10"/>
      <c r="L77" s="5"/>
      <c r="M77" s="4"/>
      <c r="N77" s="4"/>
      <c r="O77" s="91"/>
      <c r="P77" s="91"/>
      <c r="Q77" s="4"/>
      <c r="R77" s="9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spans="3:40" ht="14.4" customHeight="1" x14ac:dyDescent="0.3">
      <c r="C78" s="20" t="s">
        <v>120</v>
      </c>
      <c r="D78" s="97"/>
      <c r="E78" s="97"/>
      <c r="F78" s="97"/>
      <c r="G78" s="97"/>
      <c r="H78" s="97"/>
      <c r="I78" s="97"/>
      <c r="J78" s="41"/>
      <c r="K78" s="10"/>
      <c r="L78" s="5"/>
      <c r="M78" s="4"/>
      <c r="N78" s="4"/>
      <c r="O78" s="91"/>
      <c r="P78" s="91"/>
      <c r="Q78" s="4"/>
      <c r="R78" s="9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spans="3:40" ht="14.4" customHeight="1" x14ac:dyDescent="0.3">
      <c r="J79" s="41"/>
      <c r="K79" s="10"/>
      <c r="L79" s="5"/>
      <c r="M79" s="4"/>
      <c r="N79" s="4"/>
      <c r="O79" s="91"/>
      <c r="P79" s="91"/>
      <c r="Q79" s="4"/>
      <c r="R79" s="9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spans="3:40" ht="14.4" customHeight="1" x14ac:dyDescent="0.3">
      <c r="C80" s="93" t="s">
        <v>49</v>
      </c>
      <c r="D80" s="122"/>
      <c r="E80" s="122"/>
      <c r="F80" s="122"/>
      <c r="G80" s="122"/>
      <c r="H80" s="92"/>
      <c r="I80" s="105"/>
      <c r="J80" s="41"/>
      <c r="K80" s="10"/>
      <c r="L80" s="5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spans="1:40" ht="14.4" customHeight="1" x14ac:dyDescent="0.3">
      <c r="D81" s="50" t="s">
        <v>116</v>
      </c>
      <c r="E81" s="50" t="str">
        <f t="shared" ref="D81:I81" si="15">E$10</f>
        <v>GOOGL</v>
      </c>
      <c r="F81" s="50" t="str">
        <f t="shared" si="15"/>
        <v>SNAP</v>
      </c>
      <c r="G81" s="50" t="str">
        <f t="shared" si="15"/>
        <v>MSFT</v>
      </c>
      <c r="H81" s="50">
        <f t="shared" si="15"/>
        <v>0</v>
      </c>
      <c r="I81" s="50">
        <f t="shared" si="15"/>
        <v>0</v>
      </c>
      <c r="J81" s="41"/>
      <c r="K81" s="10"/>
      <c r="L81" s="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spans="1:40" ht="14.4" customHeight="1" x14ac:dyDescent="0.3">
      <c r="C82" s="67" t="s">
        <v>50</v>
      </c>
      <c r="D82" s="124">
        <v>46022</v>
      </c>
      <c r="E82" s="124">
        <v>46022</v>
      </c>
      <c r="F82" s="124">
        <v>46022</v>
      </c>
      <c r="G82" s="124">
        <v>46022</v>
      </c>
      <c r="H82" s="125"/>
      <c r="I82" s="126"/>
      <c r="J82" s="41"/>
      <c r="K82" s="10"/>
      <c r="L82" s="5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spans="1:40" ht="14.4" customHeight="1" x14ac:dyDescent="0.3">
      <c r="C83" s="14" t="s">
        <v>51</v>
      </c>
      <c r="D83" s="12">
        <v>200965</v>
      </c>
      <c r="E83" s="12">
        <f t="shared" ref="E83:F83" si="16">E29</f>
        <v>402836</v>
      </c>
      <c r="F83" s="12">
        <f t="shared" si="16"/>
        <v>5931</v>
      </c>
      <c r="G83" s="12">
        <v>311811</v>
      </c>
      <c r="H83" s="52"/>
      <c r="I83" s="52"/>
      <c r="J83" s="41"/>
      <c r="K83" s="10"/>
      <c r="L83" s="5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spans="1:40" ht="14.4" customHeight="1" x14ac:dyDescent="0.3">
      <c r="C84" s="14" t="s">
        <v>52</v>
      </c>
      <c r="D84" s="12">
        <v>101891</v>
      </c>
      <c r="E84" s="12">
        <f t="shared" ref="E84:F84" si="17">E42</f>
        <v>146490</v>
      </c>
      <c r="F84" s="12">
        <f t="shared" si="17"/>
        <v>689</v>
      </c>
      <c r="G84" s="12">
        <v>169114</v>
      </c>
      <c r="H84" s="53"/>
      <c r="I84" s="53"/>
      <c r="J84" s="41"/>
      <c r="K84" s="10"/>
      <c r="L84" s="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1:40" ht="14.4" customHeight="1" x14ac:dyDescent="0.3">
      <c r="C85" s="14" t="s">
        <v>53</v>
      </c>
      <c r="D85" s="12">
        <v>83275</v>
      </c>
      <c r="E85" s="12">
        <f t="shared" ref="E85:F85" si="18">E34</f>
        <v>129040</v>
      </c>
      <c r="F85" s="12">
        <f t="shared" si="18"/>
        <v>-532</v>
      </c>
      <c r="G85" s="12">
        <v>142575</v>
      </c>
      <c r="H85" s="53"/>
      <c r="I85" s="53"/>
      <c r="J85" s="41"/>
      <c r="K85" s="10"/>
      <c r="L85" s="5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spans="1:40" ht="14.4" customHeight="1" x14ac:dyDescent="0.3">
      <c r="C86" s="14" t="s">
        <v>54</v>
      </c>
      <c r="D86" s="70">
        <v>25.551282051282051</v>
      </c>
      <c r="E86" s="70">
        <f t="shared" ref="E86:F86" si="19">E39</f>
        <v>8.42</v>
      </c>
      <c r="F86" s="70">
        <f t="shared" si="19"/>
        <v>-0.27</v>
      </c>
      <c r="G86" s="70">
        <v>16.579999999999998</v>
      </c>
      <c r="H86" s="75"/>
      <c r="I86" s="75"/>
      <c r="J86" s="41"/>
      <c r="K86" s="10"/>
      <c r="L86" s="5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spans="1:40" ht="14.4" customHeight="1" x14ac:dyDescent="0.3">
      <c r="J87" s="41"/>
      <c r="K87" s="10"/>
      <c r="L87" s="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spans="1:40" ht="14.4" customHeight="1" x14ac:dyDescent="0.3">
      <c r="C88" s="93" t="s">
        <v>38</v>
      </c>
      <c r="D88" s="122"/>
      <c r="E88" s="122"/>
      <c r="F88" s="122"/>
      <c r="G88" s="122"/>
      <c r="H88" s="92"/>
      <c r="I88" s="105"/>
      <c r="J88" s="41"/>
      <c r="K88" s="10"/>
      <c r="L88" s="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spans="1:40" ht="14.4" customHeight="1" x14ac:dyDescent="0.3">
      <c r="D89" s="50" t="s">
        <v>116</v>
      </c>
      <c r="E89" s="50" t="str">
        <f t="shared" ref="D89:I89" si="20">E$10</f>
        <v>GOOGL</v>
      </c>
      <c r="F89" s="50" t="str">
        <f t="shared" si="20"/>
        <v>SNAP</v>
      </c>
      <c r="G89" s="50" t="str">
        <f t="shared" si="20"/>
        <v>MSFT</v>
      </c>
      <c r="H89" s="50">
        <f t="shared" si="20"/>
        <v>0</v>
      </c>
      <c r="I89" s="50">
        <f t="shared" si="20"/>
        <v>0</v>
      </c>
      <c r="J89" s="41"/>
      <c r="K89" s="10"/>
      <c r="L89" s="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spans="1:40" ht="14.4" customHeight="1" x14ac:dyDescent="0.3">
      <c r="C90" s="67" t="s">
        <v>55</v>
      </c>
      <c r="D90" s="124">
        <v>46022</v>
      </c>
      <c r="E90" s="124">
        <v>46022</v>
      </c>
      <c r="F90" s="124">
        <v>46022</v>
      </c>
      <c r="G90" s="124">
        <v>46022</v>
      </c>
      <c r="H90" s="124"/>
      <c r="I90" s="127"/>
      <c r="J90" s="41"/>
      <c r="K90" s="10"/>
      <c r="L90" s="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spans="1:40" ht="14.4" customHeight="1" x14ac:dyDescent="0.3">
      <c r="C91" s="14" t="s">
        <v>56</v>
      </c>
      <c r="D91" s="12">
        <v>200965</v>
      </c>
      <c r="E91" s="12">
        <f>E29</f>
        <v>402836</v>
      </c>
      <c r="F91" s="12">
        <f>F29</f>
        <v>5931</v>
      </c>
      <c r="G91" s="12">
        <f>G29</f>
        <v>281724</v>
      </c>
      <c r="H91" s="52"/>
      <c r="I91" s="52"/>
      <c r="J91" s="41"/>
      <c r="K91" s="10"/>
      <c r="L91" s="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spans="1:40" ht="14.4" customHeight="1" x14ac:dyDescent="0.3">
      <c r="C92" s="14" t="s">
        <v>57</v>
      </c>
      <c r="D92" s="12">
        <v>101891</v>
      </c>
      <c r="E92" s="12">
        <f>E42</f>
        <v>146490</v>
      </c>
      <c r="F92" s="12">
        <f>F42</f>
        <v>689</v>
      </c>
      <c r="G92" s="12">
        <f>G42</f>
        <v>150028</v>
      </c>
      <c r="H92" s="53"/>
      <c r="I92" s="53"/>
      <c r="J92" s="41"/>
      <c r="K92" s="10"/>
      <c r="L92" s="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spans="1:40" ht="14.4" customHeight="1" x14ac:dyDescent="0.3">
      <c r="C93" s="14" t="s">
        <v>58</v>
      </c>
      <c r="D93" s="12">
        <v>83275</v>
      </c>
      <c r="E93" s="12">
        <f>E34</f>
        <v>129040</v>
      </c>
      <c r="F93" s="12">
        <f>F34</f>
        <v>-532</v>
      </c>
      <c r="G93" s="12">
        <f>G34</f>
        <v>128528</v>
      </c>
      <c r="H93" s="53"/>
      <c r="I93" s="53"/>
      <c r="J93" s="41"/>
      <c r="K93" s="10"/>
      <c r="L93" s="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spans="1:40" ht="14.4" customHeight="1" x14ac:dyDescent="0.3">
      <c r="C94" t="s">
        <v>59</v>
      </c>
      <c r="D94" s="2">
        <v>25.551282051282051</v>
      </c>
      <c r="E94" s="2">
        <f>E39</f>
        <v>8.42</v>
      </c>
      <c r="F94" s="2">
        <f>F39</f>
        <v>-0.27</v>
      </c>
      <c r="G94" s="2">
        <f>G39</f>
        <v>13.64</v>
      </c>
      <c r="H94" s="68"/>
      <c r="I94" s="68"/>
      <c r="J94" s="41"/>
      <c r="K94" s="10"/>
      <c r="L94" s="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spans="1:40" ht="14.4" customHeight="1" x14ac:dyDescent="0.3">
      <c r="D95" s="68"/>
      <c r="E95" s="68"/>
      <c r="F95" s="68"/>
      <c r="G95" s="68"/>
      <c r="H95" s="68"/>
      <c r="I95" s="68"/>
      <c r="J95" s="41"/>
      <c r="K95" s="10"/>
      <c r="L95" s="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 spans="1:40" ht="14.4" customHeight="1" x14ac:dyDescent="0.3">
      <c r="A96" s="41"/>
      <c r="B96" s="41"/>
      <c r="C96" s="20" t="s">
        <v>117</v>
      </c>
      <c r="D96" s="97"/>
      <c r="E96" s="97"/>
      <c r="F96" s="97"/>
      <c r="G96" s="97"/>
      <c r="H96" s="97"/>
      <c r="I96" s="97"/>
      <c r="J96" s="41"/>
      <c r="K96" s="10"/>
      <c r="L96" s="5"/>
      <c r="M96" s="4"/>
      <c r="N96" s="12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spans="1:40" ht="14.4" customHeight="1" x14ac:dyDescent="0.3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10"/>
      <c r="L97" s="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spans="1:40" ht="14.4" customHeight="1" x14ac:dyDescent="0.3">
      <c r="A98" s="1"/>
      <c r="C98" s="93" t="s">
        <v>60</v>
      </c>
      <c r="D98" s="92"/>
      <c r="E98" s="92"/>
      <c r="F98" s="92"/>
      <c r="G98" s="92"/>
      <c r="H98" s="92"/>
      <c r="I98" s="105"/>
      <c r="J98" s="41"/>
      <c r="K98" s="10"/>
      <c r="L98" s="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spans="1:40" ht="14.4" customHeight="1" x14ac:dyDescent="0.3">
      <c r="D99" s="50" t="s">
        <v>116</v>
      </c>
      <c r="E99" s="50" t="str">
        <f t="shared" ref="D99:I99" si="21">E$10</f>
        <v>GOOGL</v>
      </c>
      <c r="F99" s="50" t="str">
        <f t="shared" si="21"/>
        <v>SNAP</v>
      </c>
      <c r="G99" s="50" t="str">
        <f t="shared" si="21"/>
        <v>MSFT</v>
      </c>
      <c r="H99" s="50">
        <f t="shared" si="21"/>
        <v>0</v>
      </c>
      <c r="I99" s="50">
        <f t="shared" si="21"/>
        <v>0</v>
      </c>
      <c r="J99" s="41"/>
      <c r="K99" s="10"/>
      <c r="L99" s="5"/>
      <c r="M99" s="4"/>
      <c r="N99" s="4"/>
      <c r="O99" s="89"/>
      <c r="P99" s="89"/>
      <c r="Q99" s="89"/>
      <c r="R99" s="8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spans="1:40" ht="14.4" customHeight="1" x14ac:dyDescent="0.3">
      <c r="C100" s="67" t="s">
        <v>55</v>
      </c>
      <c r="D100" s="69">
        <v>46387</v>
      </c>
      <c r="E100" s="69">
        <v>46387</v>
      </c>
      <c r="F100" s="69">
        <v>46387</v>
      </c>
      <c r="G100" s="69">
        <v>46387</v>
      </c>
      <c r="H100" s="69"/>
      <c r="I100" s="69"/>
      <c r="J100" s="41"/>
      <c r="K100" s="10"/>
      <c r="L100" s="5"/>
      <c r="M100" s="4"/>
      <c r="N100" s="4"/>
      <c r="O100" s="91"/>
      <c r="P100" s="91"/>
      <c r="Q100" s="91"/>
      <c r="R100" s="91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spans="1:40" ht="14.4" customHeight="1" x14ac:dyDescent="0.3">
      <c r="C101" t="s">
        <v>61</v>
      </c>
      <c r="D101" s="12">
        <v>249400</v>
      </c>
      <c r="E101" s="12">
        <v>448500</v>
      </c>
      <c r="F101" s="12">
        <v>7250</v>
      </c>
      <c r="G101" s="12">
        <v>332100</v>
      </c>
      <c r="H101" s="12"/>
      <c r="I101" s="49"/>
      <c r="J101" s="41"/>
      <c r="K101" s="10"/>
      <c r="L101" s="5"/>
      <c r="M101" s="4"/>
      <c r="N101" s="4"/>
      <c r="O101" s="91"/>
      <c r="P101" s="91"/>
      <c r="Q101" s="4"/>
      <c r="R101" s="91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spans="1:40" ht="14.4" customHeight="1" x14ac:dyDescent="0.3">
      <c r="C102" t="s">
        <v>62</v>
      </c>
      <c r="D102" s="12">
        <v>126800</v>
      </c>
      <c r="E102" s="12">
        <v>162100</v>
      </c>
      <c r="F102" s="12">
        <v>940</v>
      </c>
      <c r="G102" s="12">
        <v>178400</v>
      </c>
      <c r="H102" s="12"/>
      <c r="I102" s="49"/>
      <c r="J102" s="41"/>
      <c r="K102" s="10"/>
      <c r="L102" s="5"/>
      <c r="M102" s="4"/>
      <c r="N102" s="4"/>
      <c r="O102" s="91"/>
      <c r="P102" s="91"/>
      <c r="Q102" s="4"/>
      <c r="R102" s="91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spans="1:40" ht="14.4" customHeight="1" x14ac:dyDescent="0.3">
      <c r="C103" t="s">
        <v>63</v>
      </c>
      <c r="D103" s="12">
        <v>98500</v>
      </c>
      <c r="E103" s="12">
        <v>141300</v>
      </c>
      <c r="F103" s="12">
        <v>-420</v>
      </c>
      <c r="G103" s="12">
        <v>152600</v>
      </c>
      <c r="H103" s="12"/>
      <c r="I103" s="49"/>
      <c r="J103" s="41"/>
      <c r="K103" s="10"/>
      <c r="L103" s="5"/>
      <c r="M103" s="4"/>
      <c r="N103" s="4"/>
      <c r="O103" s="90"/>
      <c r="P103" s="90"/>
      <c r="Q103" s="90"/>
      <c r="R103" s="90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spans="1:40" ht="14.4" customHeight="1" x14ac:dyDescent="0.3">
      <c r="C104" t="s">
        <v>64</v>
      </c>
      <c r="D104" s="70">
        <v>29.56</v>
      </c>
      <c r="E104" s="70">
        <v>12.45</v>
      </c>
      <c r="F104" s="70">
        <v>-0.05</v>
      </c>
      <c r="G104" s="70">
        <v>16.8</v>
      </c>
      <c r="H104" s="70"/>
      <c r="I104" s="106"/>
      <c r="J104" s="41"/>
      <c r="K104" s="10"/>
      <c r="L104" s="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spans="1:40" ht="14.4" customHeight="1" x14ac:dyDescent="0.3">
      <c r="C105" s="71" t="s">
        <v>65</v>
      </c>
      <c r="D105" s="72" t="s">
        <v>66</v>
      </c>
      <c r="E105" s="72"/>
      <c r="F105" s="72"/>
      <c r="G105" s="72"/>
      <c r="H105" s="72"/>
      <c r="I105" s="72"/>
      <c r="J105" s="41"/>
      <c r="K105" s="10"/>
      <c r="L105" s="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spans="1:40" ht="14.4" customHeight="1" x14ac:dyDescent="0.3">
      <c r="J106" s="41"/>
      <c r="K106" s="10"/>
      <c r="L106" s="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spans="1:40" ht="14.4" customHeight="1" x14ac:dyDescent="0.3">
      <c r="C107" s="93" t="s">
        <v>67</v>
      </c>
      <c r="D107" s="92"/>
      <c r="E107" s="92"/>
      <c r="F107" s="92"/>
      <c r="G107" s="92"/>
      <c r="H107" s="92"/>
      <c r="I107" s="105"/>
      <c r="J107" s="41"/>
      <c r="K107" s="10"/>
      <c r="L107" s="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spans="1:40" ht="14.4" customHeight="1" x14ac:dyDescent="0.3">
      <c r="D108" s="50" t="s">
        <v>116</v>
      </c>
      <c r="E108" s="50" t="str">
        <f t="shared" ref="D108:I108" si="22">E$10</f>
        <v>GOOGL</v>
      </c>
      <c r="F108" s="50" t="str">
        <f t="shared" si="22"/>
        <v>SNAP</v>
      </c>
      <c r="G108" s="50" t="str">
        <f t="shared" si="22"/>
        <v>MSFT</v>
      </c>
      <c r="H108" s="50">
        <f t="shared" si="22"/>
        <v>0</v>
      </c>
      <c r="I108" s="50">
        <f t="shared" si="22"/>
        <v>0</v>
      </c>
      <c r="J108" s="41"/>
      <c r="K108" s="10"/>
      <c r="L108" s="5"/>
      <c r="M108" s="4"/>
      <c r="N108" s="4"/>
      <c r="O108" s="89"/>
      <c r="P108" s="89"/>
      <c r="Q108" s="89"/>
      <c r="R108" s="8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spans="1:40" ht="14.4" customHeight="1" x14ac:dyDescent="0.3">
      <c r="C109" s="67" t="s">
        <v>55</v>
      </c>
      <c r="D109" s="69">
        <v>46752</v>
      </c>
      <c r="E109" s="69">
        <v>46752</v>
      </c>
      <c r="F109" s="69">
        <v>46752</v>
      </c>
      <c r="G109" s="69">
        <v>46752</v>
      </c>
      <c r="H109" s="74"/>
      <c r="I109" s="74"/>
      <c r="J109" s="41"/>
      <c r="K109" s="10"/>
      <c r="L109" s="5"/>
      <c r="M109" s="4"/>
      <c r="N109" s="4"/>
      <c r="O109" s="91"/>
      <c r="P109" s="91"/>
      <c r="Q109" s="91"/>
      <c r="R109" s="91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spans="1:40" ht="14.4" customHeight="1" x14ac:dyDescent="0.3">
      <c r="C110" t="s">
        <v>68</v>
      </c>
      <c r="D110" s="12">
        <v>301300</v>
      </c>
      <c r="E110" s="12">
        <v>506800</v>
      </c>
      <c r="F110" s="12">
        <v>8100</v>
      </c>
      <c r="G110" s="54">
        <v>386700</v>
      </c>
      <c r="H110" s="54"/>
      <c r="I110" s="107"/>
      <c r="J110" s="41"/>
      <c r="K110" s="10"/>
      <c r="L110" s="5"/>
      <c r="M110" s="4"/>
      <c r="N110" s="4"/>
      <c r="O110" s="91"/>
      <c r="P110" s="91"/>
      <c r="Q110" s="91"/>
      <c r="R110" s="91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spans="1:40" ht="14.4" customHeight="1" x14ac:dyDescent="0.3">
      <c r="C111" t="s">
        <v>69</v>
      </c>
      <c r="D111" s="12">
        <v>158200</v>
      </c>
      <c r="E111" s="12">
        <v>188000</v>
      </c>
      <c r="F111" s="12">
        <v>1250</v>
      </c>
      <c r="G111" s="53">
        <v>208800</v>
      </c>
      <c r="H111" s="53"/>
      <c r="I111" s="108"/>
      <c r="J111" s="41"/>
      <c r="K111" s="10"/>
      <c r="L111" s="5"/>
      <c r="M111" s="4"/>
      <c r="N111" s="4"/>
      <c r="O111" s="91"/>
      <c r="P111" s="91"/>
      <c r="Q111" s="4"/>
      <c r="R111" s="91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spans="1:40" ht="14.4" customHeight="1" x14ac:dyDescent="0.3">
      <c r="C112" t="s">
        <v>70</v>
      </c>
      <c r="D112" s="12">
        <v>123500</v>
      </c>
      <c r="E112" s="12">
        <v>163900</v>
      </c>
      <c r="F112" s="12">
        <v>210</v>
      </c>
      <c r="G112" s="53">
        <v>179200</v>
      </c>
      <c r="H112" s="53"/>
      <c r="I112" s="108"/>
      <c r="J112" s="41"/>
      <c r="K112" s="10"/>
      <c r="L112" s="5"/>
      <c r="M112" s="4"/>
      <c r="N112" s="4"/>
      <c r="O112" s="90"/>
      <c r="P112" s="90"/>
      <c r="Q112" s="90"/>
      <c r="R112" s="90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spans="1:40" ht="14.4" customHeight="1" x14ac:dyDescent="0.3">
      <c r="C113" t="s">
        <v>71</v>
      </c>
      <c r="D113" s="70">
        <v>35.229999999999997</v>
      </c>
      <c r="E113" s="70">
        <v>14.2</v>
      </c>
      <c r="F113" s="70">
        <v>0.12</v>
      </c>
      <c r="G113" s="95">
        <v>19.440000000000001</v>
      </c>
      <c r="H113" s="75"/>
      <c r="I113" s="109"/>
      <c r="J113" s="41"/>
      <c r="K113" s="10"/>
      <c r="L113" s="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spans="1:40" ht="14.4" customHeight="1" x14ac:dyDescent="0.3">
      <c r="C114" s="71" t="s">
        <v>65</v>
      </c>
      <c r="D114" s="76" t="s">
        <v>66</v>
      </c>
      <c r="E114" s="76"/>
      <c r="F114" s="76"/>
      <c r="G114" s="76"/>
      <c r="H114" s="76"/>
      <c r="I114" s="110"/>
      <c r="J114" s="41"/>
      <c r="K114" s="10"/>
      <c r="L114" s="5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spans="1:40" ht="14.4" customHeight="1" x14ac:dyDescent="0.3">
      <c r="D115" s="73"/>
      <c r="E115" s="73"/>
      <c r="J115" s="41"/>
      <c r="K115" s="10"/>
      <c r="L115" s="5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spans="1:40" ht="14.4" customHeight="1" x14ac:dyDescent="0.3">
      <c r="C116" s="93" t="s">
        <v>72</v>
      </c>
      <c r="D116" s="92"/>
      <c r="E116" s="92"/>
      <c r="F116" s="92"/>
      <c r="G116" s="92"/>
      <c r="H116" s="92"/>
      <c r="I116" s="105"/>
      <c r="J116" s="41"/>
      <c r="K116" s="10"/>
      <c r="L116" s="5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spans="1:40" ht="14.4" customHeight="1" x14ac:dyDescent="0.3">
      <c r="D117" s="50" t="s">
        <v>116</v>
      </c>
      <c r="E117" s="50" t="str">
        <f t="shared" ref="D117:I117" si="23">E$10</f>
        <v>GOOGL</v>
      </c>
      <c r="F117" s="50" t="str">
        <f t="shared" si="23"/>
        <v>SNAP</v>
      </c>
      <c r="G117" s="50" t="str">
        <f t="shared" si="23"/>
        <v>MSFT</v>
      </c>
      <c r="H117" s="50">
        <f t="shared" si="23"/>
        <v>0</v>
      </c>
      <c r="I117" s="50">
        <f t="shared" si="23"/>
        <v>0</v>
      </c>
      <c r="J117" s="41"/>
      <c r="K117" s="10"/>
      <c r="L117" s="5"/>
      <c r="M117" s="4"/>
      <c r="N117" s="4"/>
      <c r="O117" s="96"/>
      <c r="P117" s="96"/>
      <c r="Q117" s="96"/>
      <c r="R117" s="9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spans="1:40" ht="14.4" customHeight="1" x14ac:dyDescent="0.3">
      <c r="C118" t="s">
        <v>73</v>
      </c>
      <c r="D118" s="77">
        <v>0.22500000000000001</v>
      </c>
      <c r="E118" s="77">
        <v>0.182</v>
      </c>
      <c r="F118" s="77">
        <v>0.24</v>
      </c>
      <c r="G118" s="77">
        <v>0.17499999999999999</v>
      </c>
      <c r="H118" s="77"/>
      <c r="I118" s="111"/>
      <c r="J118" s="41"/>
      <c r="K118" s="10"/>
      <c r="L118" s="5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spans="1:40" ht="14.4" customHeight="1" x14ac:dyDescent="0.3">
      <c r="C119" s="71" t="s">
        <v>65</v>
      </c>
      <c r="D119" s="76" t="s">
        <v>66</v>
      </c>
      <c r="E119" s="76"/>
      <c r="F119" s="76"/>
      <c r="G119" s="76"/>
      <c r="H119" s="14"/>
      <c r="I119" s="102"/>
      <c r="J119" s="41"/>
      <c r="K119" s="10"/>
      <c r="L119" s="5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spans="1:40" ht="14.4" customHeight="1" x14ac:dyDescent="0.3">
      <c r="C120" s="71"/>
      <c r="D120" s="72"/>
      <c r="E120" s="72"/>
      <c r="F120" s="72"/>
      <c r="J120" s="41"/>
      <c r="K120" s="10"/>
      <c r="L120" s="5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spans="1:40" ht="14.4" customHeight="1" x14ac:dyDescent="0.3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10"/>
      <c r="L121" s="5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spans="1:40" ht="14.4" customHeight="1" x14ac:dyDescent="0.3">
      <c r="A122" s="41"/>
      <c r="B122" s="41"/>
      <c r="C122" s="123" t="s">
        <v>75</v>
      </c>
      <c r="D122" s="98"/>
      <c r="E122" s="98"/>
      <c r="F122" s="98"/>
      <c r="G122" s="98"/>
      <c r="H122" s="98"/>
      <c r="I122" s="98"/>
      <c r="J122" s="41"/>
      <c r="K122" s="10"/>
      <c r="L122" s="5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spans="1:40" ht="14.4" customHeight="1" x14ac:dyDescent="0.3">
      <c r="C123" s="41"/>
      <c r="D123" s="41"/>
      <c r="E123" s="41"/>
      <c r="F123" s="41"/>
      <c r="G123" s="41"/>
      <c r="H123" s="41"/>
      <c r="I123" s="41"/>
      <c r="J123" s="41"/>
      <c r="K123" s="10"/>
      <c r="L123" s="5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spans="1:40" ht="14.4" customHeight="1" x14ac:dyDescent="0.3">
      <c r="C124" t="s">
        <v>74</v>
      </c>
      <c r="D124" s="53" t="s">
        <v>121</v>
      </c>
      <c r="E124" s="53"/>
      <c r="F124" s="53"/>
      <c r="G124" s="53"/>
      <c r="H124" s="53"/>
      <c r="I124" s="108"/>
      <c r="J124" s="41"/>
      <c r="K124" s="10"/>
      <c r="L124" s="5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spans="1:40" ht="14.4" customHeight="1" x14ac:dyDescent="0.3">
      <c r="C125" t="s">
        <v>76</v>
      </c>
      <c r="D125" s="12">
        <v>1250</v>
      </c>
      <c r="E125" s="12">
        <v>4200</v>
      </c>
      <c r="F125" s="12">
        <v>480</v>
      </c>
      <c r="G125" s="12">
        <v>12450</v>
      </c>
      <c r="H125" s="52"/>
      <c r="I125" s="131"/>
      <c r="J125" s="41"/>
      <c r="K125" s="10"/>
      <c r="L125" s="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spans="1:40" ht="14.4" customHeight="1" x14ac:dyDescent="0.3">
      <c r="C126" t="s">
        <v>77</v>
      </c>
      <c r="D126" s="12">
        <v>58744</v>
      </c>
      <c r="E126" s="12">
        <v>46547</v>
      </c>
      <c r="F126" s="12">
        <v>3490</v>
      </c>
      <c r="G126" s="12">
        <v>35425</v>
      </c>
      <c r="H126" s="53"/>
      <c r="I126" s="108"/>
      <c r="J126" s="41"/>
      <c r="K126" s="10"/>
      <c r="L126" s="5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spans="1:40" ht="14.4" customHeight="1" x14ac:dyDescent="0.3">
      <c r="C127" t="s">
        <v>78</v>
      </c>
      <c r="D127" s="12">
        <v>687</v>
      </c>
      <c r="E127" s="12">
        <v>4100</v>
      </c>
      <c r="F127" s="12">
        <v>24</v>
      </c>
      <c r="G127" s="12">
        <v>150</v>
      </c>
      <c r="H127" s="53"/>
      <c r="I127" s="108"/>
      <c r="J127" s="41"/>
      <c r="K127" s="10"/>
      <c r="L127" s="5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spans="1:40" ht="14.4" customHeight="1" x14ac:dyDescent="0.3">
      <c r="C128" t="s">
        <v>79</v>
      </c>
      <c r="D128" s="12">
        <v>0</v>
      </c>
      <c r="E128" s="12">
        <v>0</v>
      </c>
      <c r="F128" s="12">
        <v>0</v>
      </c>
      <c r="G128" s="12">
        <v>0</v>
      </c>
      <c r="H128" s="53"/>
      <c r="I128" s="108"/>
      <c r="J128" s="41"/>
      <c r="K128" s="10"/>
      <c r="L128" s="5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spans="3:40" ht="14.4" customHeight="1" x14ac:dyDescent="0.3">
      <c r="C129" t="s">
        <v>118</v>
      </c>
      <c r="D129" s="11">
        <v>60681</v>
      </c>
      <c r="E129" s="11">
        <f>SUM(E125:E128)</f>
        <v>54847</v>
      </c>
      <c r="F129" s="11">
        <f>SUM(F125:F128)</f>
        <v>3994</v>
      </c>
      <c r="G129" s="11">
        <f>SUM(G125:G128)</f>
        <v>48025</v>
      </c>
      <c r="H129" s="53"/>
      <c r="I129" s="108"/>
      <c r="J129" s="41"/>
      <c r="K129" s="10"/>
      <c r="L129" s="5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spans="3:40" ht="14.4" customHeight="1" x14ac:dyDescent="0.3">
      <c r="C130" t="s">
        <v>80</v>
      </c>
      <c r="D130" s="12">
        <v>-81590</v>
      </c>
      <c r="E130" s="12">
        <v>-126843</v>
      </c>
      <c r="F130" s="12">
        <v>-2900</v>
      </c>
      <c r="G130" s="12">
        <v>-89460</v>
      </c>
      <c r="H130" s="53"/>
      <c r="I130" s="108"/>
      <c r="J130" s="41"/>
      <c r="K130" s="10"/>
      <c r="L130" s="5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spans="3:40" ht="14.4" customHeight="1" x14ac:dyDescent="0.3">
      <c r="C131" s="1" t="s">
        <v>81</v>
      </c>
      <c r="D131" s="11">
        <v>-20909</v>
      </c>
      <c r="E131" s="11">
        <f t="shared" ref="E131:G131" si="24">SUM(E129:E130)</f>
        <v>-71996</v>
      </c>
      <c r="F131" s="11">
        <f t="shared" si="24"/>
        <v>1094</v>
      </c>
      <c r="G131" s="11">
        <f t="shared" si="24"/>
        <v>-41435</v>
      </c>
      <c r="H131" s="78"/>
      <c r="I131" s="112"/>
      <c r="J131" s="41"/>
      <c r="K131" s="10"/>
      <c r="L131" s="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spans="3:40" ht="14.4" customHeight="1" x14ac:dyDescent="0.3">
      <c r="J132" s="41"/>
      <c r="K132" s="10"/>
      <c r="L132" s="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 spans="3:40" ht="14.4" customHeight="1" x14ac:dyDescent="0.3">
      <c r="C133" s="20" t="s">
        <v>82</v>
      </c>
      <c r="D133" s="19"/>
      <c r="E133" s="99"/>
      <c r="F133" s="100"/>
      <c r="G133" s="19"/>
      <c r="H133" s="19"/>
      <c r="I133" s="19"/>
      <c r="J133" s="41"/>
      <c r="K133" s="10"/>
      <c r="L133" s="5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spans="3:40" ht="14.4" customHeight="1" x14ac:dyDescent="0.3">
      <c r="D134" s="44"/>
      <c r="E134" s="44"/>
      <c r="F134" s="44"/>
      <c r="G134" s="44"/>
      <c r="H134" s="44"/>
      <c r="I134" s="44"/>
      <c r="J134" s="41"/>
      <c r="K134" s="10"/>
      <c r="L134" s="5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spans="3:40" ht="14.4" customHeight="1" x14ac:dyDescent="0.3">
      <c r="C135" s="129" t="s">
        <v>83</v>
      </c>
      <c r="D135" s="92"/>
      <c r="E135" s="92"/>
      <c r="F135" s="92"/>
      <c r="G135" s="92"/>
      <c r="H135" s="92"/>
      <c r="I135" s="92"/>
      <c r="J135" s="41"/>
      <c r="K135" s="10"/>
      <c r="L135" s="5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spans="3:40" ht="14.4" customHeight="1" x14ac:dyDescent="0.3">
      <c r="C136" s="79"/>
      <c r="D136" s="50" t="s">
        <v>116</v>
      </c>
      <c r="E136" s="50" t="str">
        <f t="shared" ref="D136:I136" si="25">E$10</f>
        <v>GOOGL</v>
      </c>
      <c r="F136" s="50" t="str">
        <f t="shared" si="25"/>
        <v>SNAP</v>
      </c>
      <c r="G136" s="50" t="str">
        <f t="shared" si="25"/>
        <v>MSFT</v>
      </c>
      <c r="H136" s="50">
        <f t="shared" si="25"/>
        <v>0</v>
      </c>
      <c r="I136" s="50">
        <f t="shared" si="25"/>
        <v>0</v>
      </c>
      <c r="J136" s="41"/>
      <c r="K136" s="10"/>
      <c r="L136" s="5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spans="3:40" ht="14.4" customHeight="1" x14ac:dyDescent="0.3">
      <c r="C137" t="s">
        <v>84</v>
      </c>
      <c r="D137" s="16">
        <v>655.66</v>
      </c>
      <c r="E137" s="16">
        <f>E13</f>
        <v>192.4</v>
      </c>
      <c r="F137" s="16">
        <f>F13</f>
        <v>12.15</v>
      </c>
      <c r="G137" s="16">
        <f>G13</f>
        <v>485.2</v>
      </c>
      <c r="H137" s="80"/>
      <c r="I137" s="113"/>
      <c r="J137" s="41"/>
      <c r="K137" s="10"/>
      <c r="L137" s="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spans="3:40" ht="14.4" customHeight="1" x14ac:dyDescent="0.3">
      <c r="C138" t="s">
        <v>85</v>
      </c>
      <c r="D138" s="16">
        <v>2550</v>
      </c>
      <c r="E138" s="16">
        <f>E21</f>
        <v>12330</v>
      </c>
      <c r="F138" s="16">
        <f>F21</f>
        <v>1790</v>
      </c>
      <c r="G138" s="16">
        <f>G21</f>
        <v>7540</v>
      </c>
      <c r="H138" s="81"/>
      <c r="I138" s="114"/>
      <c r="J138" s="41"/>
      <c r="K138" s="10"/>
      <c r="L138" s="5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spans="3:40" ht="14.4" customHeight="1" x14ac:dyDescent="0.3">
      <c r="C139" t="s">
        <v>86</v>
      </c>
      <c r="D139" s="82">
        <v>1671933</v>
      </c>
      <c r="E139" s="82">
        <f>E21*E13</f>
        <v>2372292</v>
      </c>
      <c r="F139" s="82">
        <f>F21*F13</f>
        <v>21748.5</v>
      </c>
      <c r="G139" s="82">
        <f>G21*G13</f>
        <v>3658408</v>
      </c>
      <c r="H139" s="83"/>
      <c r="I139" s="115"/>
      <c r="J139" s="41"/>
      <c r="K139" s="10"/>
      <c r="L139" s="5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spans="3:40" ht="14.4" customHeight="1" x14ac:dyDescent="0.3">
      <c r="C140" s="1"/>
      <c r="D140" s="82"/>
      <c r="E140" s="82"/>
      <c r="F140" s="82"/>
      <c r="G140" s="83"/>
      <c r="H140" s="83"/>
      <c r="I140" s="115"/>
      <c r="J140" s="41"/>
      <c r="K140" s="10"/>
      <c r="L140" s="5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spans="3:40" ht="14.4" customHeight="1" x14ac:dyDescent="0.3">
      <c r="C141" t="s">
        <v>81</v>
      </c>
      <c r="D141" s="16">
        <v>-20909</v>
      </c>
      <c r="E141" s="16">
        <f t="shared" ref="E141:G141" si="26">E131</f>
        <v>-71996</v>
      </c>
      <c r="F141" s="16">
        <f t="shared" si="26"/>
        <v>1094</v>
      </c>
      <c r="G141" s="16">
        <f t="shared" si="26"/>
        <v>-41435</v>
      </c>
      <c r="H141" s="81"/>
      <c r="I141" s="114"/>
      <c r="J141" s="41"/>
      <c r="K141" s="10"/>
      <c r="L141" s="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spans="3:40" ht="14.4" customHeight="1" x14ac:dyDescent="0.3">
      <c r="C142" t="s">
        <v>6</v>
      </c>
      <c r="D142" s="82">
        <v>1651024</v>
      </c>
      <c r="E142" s="82">
        <f>E139+E141</f>
        <v>2300296</v>
      </c>
      <c r="F142" s="82">
        <f>F139+F141</f>
        <v>22842.5</v>
      </c>
      <c r="G142" s="82">
        <f>G139+G141</f>
        <v>3616973</v>
      </c>
      <c r="H142" s="84"/>
      <c r="I142" s="116"/>
      <c r="J142" s="41"/>
      <c r="K142" s="10"/>
      <c r="L142" s="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spans="3:40" ht="14.4" customHeight="1" x14ac:dyDescent="0.3">
      <c r="J143" s="41"/>
      <c r="K143" s="10"/>
      <c r="L143" s="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spans="3:40" ht="14.4" customHeight="1" x14ac:dyDescent="0.3">
      <c r="C144" s="129" t="s">
        <v>87</v>
      </c>
      <c r="D144" s="92"/>
      <c r="E144" s="92"/>
      <c r="F144" s="92"/>
      <c r="G144" s="92"/>
      <c r="H144" s="92"/>
      <c r="I144" s="105"/>
      <c r="J144" s="41"/>
      <c r="K144" s="10"/>
      <c r="L144" s="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spans="1:40" ht="14.4" customHeight="1" x14ac:dyDescent="0.3">
      <c r="D145" s="50" t="s">
        <v>116</v>
      </c>
      <c r="E145" s="50" t="str">
        <f t="shared" ref="D145:I145" si="27">E$10</f>
        <v>GOOGL</v>
      </c>
      <c r="F145" s="50" t="str">
        <f t="shared" si="27"/>
        <v>SNAP</v>
      </c>
      <c r="G145" s="50" t="str">
        <f t="shared" si="27"/>
        <v>MSFT</v>
      </c>
      <c r="H145" s="50">
        <f t="shared" si="27"/>
        <v>0</v>
      </c>
      <c r="I145" s="50">
        <f t="shared" si="27"/>
        <v>0</v>
      </c>
      <c r="J145" s="41"/>
      <c r="K145" s="10"/>
      <c r="L145" s="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spans="1:40" ht="14.4" customHeight="1" x14ac:dyDescent="0.3">
      <c r="C146" s="86" t="s">
        <v>88</v>
      </c>
      <c r="D146" s="85"/>
      <c r="E146" s="85"/>
      <c r="F146" s="85"/>
      <c r="G146" s="85"/>
      <c r="H146" s="85"/>
      <c r="I146" s="85"/>
      <c r="J146" s="41"/>
      <c r="K146" s="10"/>
      <c r="L146" s="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spans="1:40" ht="14.4" customHeight="1" x14ac:dyDescent="0.3">
      <c r="A147" t="s">
        <v>89</v>
      </c>
      <c r="C147" t="s">
        <v>90</v>
      </c>
      <c r="D147" s="37">
        <v>8.2154803075162341</v>
      </c>
      <c r="E147" s="37">
        <f>IFERROR(E142/E83, "NM")</f>
        <v>5.7102542970340284</v>
      </c>
      <c r="F147" s="37">
        <f>IFERROR(F142/F83, "NM")</f>
        <v>3.8513741358961391</v>
      </c>
      <c r="G147" s="37">
        <f>IFERROR(G142/G83, "NM")</f>
        <v>11.599889035345129</v>
      </c>
      <c r="H147" s="37"/>
      <c r="I147" s="37"/>
      <c r="J147" s="41"/>
      <c r="K147" s="10"/>
      <c r="L147" s="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spans="1:40" ht="14.4" customHeight="1" x14ac:dyDescent="0.3">
      <c r="C148" t="s">
        <v>91</v>
      </c>
      <c r="D148" s="37">
        <v>16.203825656829355</v>
      </c>
      <c r="E148" s="37">
        <f>IFERROR(E142/E84, "NM")</f>
        <v>15.702751041026691</v>
      </c>
      <c r="F148" s="37">
        <f>IFERROR(F142/F84, "NM")</f>
        <v>33.153120464441216</v>
      </c>
      <c r="G148" s="37">
        <f>IFERROR(G142/G84, "NM")</f>
        <v>21.387779840817437</v>
      </c>
      <c r="H148" s="37"/>
      <c r="I148" s="37"/>
      <c r="J148" s="41"/>
      <c r="K148" s="10"/>
      <c r="L148" s="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spans="1:40" ht="14.4" customHeight="1" x14ac:dyDescent="0.3">
      <c r="C149" t="s">
        <v>92</v>
      </c>
      <c r="D149" s="37">
        <v>19.826166316421496</v>
      </c>
      <c r="E149" s="37">
        <f>IFERROR(E142/E85, "NM")</f>
        <v>17.826224426534409</v>
      </c>
      <c r="F149" s="37">
        <f>IFERROR(F142/F85, "NM")</f>
        <v>-42.93703007518797</v>
      </c>
      <c r="G149" s="37">
        <f>IFERROR(G142/G85, "NM")</f>
        <v>25.368914606347538</v>
      </c>
      <c r="H149" s="37"/>
      <c r="I149" s="37"/>
      <c r="J149" s="41"/>
      <c r="K149" s="87"/>
      <c r="L149" s="9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spans="1:40" ht="14.4" customHeight="1" x14ac:dyDescent="0.3">
      <c r="C150" t="s">
        <v>93</v>
      </c>
      <c r="D150" s="37">
        <v>25.660551931761162</v>
      </c>
      <c r="E150" s="37">
        <f>IFERROR(E13/E86, "NM")</f>
        <v>22.850356294536819</v>
      </c>
      <c r="F150" s="37">
        <f>IFERROR(F13/F86, "NM")</f>
        <v>-45</v>
      </c>
      <c r="G150" s="37">
        <f>IFERROR(G13/G86, "NM")</f>
        <v>29.264173703256937</v>
      </c>
      <c r="H150" s="37"/>
      <c r="I150" s="37"/>
      <c r="J150" s="41"/>
      <c r="K150" s="10"/>
      <c r="L150" s="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spans="1:40" ht="14.4" customHeight="1" x14ac:dyDescent="0.3">
      <c r="C151" s="86" t="s">
        <v>94</v>
      </c>
      <c r="J151" s="41"/>
      <c r="K151" s="10"/>
      <c r="L151" s="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spans="1:40" ht="14.4" customHeight="1" x14ac:dyDescent="0.3">
      <c r="C152" t="s">
        <v>95</v>
      </c>
      <c r="D152" s="21">
        <v>6.6199839615076179</v>
      </c>
      <c r="E152" s="21">
        <f t="shared" ref="D152:G154" si="28">IFERROR(E$142/E101, "NM")</f>
        <v>5.1288651059085844</v>
      </c>
      <c r="F152" s="21">
        <f t="shared" si="28"/>
        <v>3.1506896551724139</v>
      </c>
      <c r="G152" s="21">
        <f t="shared" si="28"/>
        <v>10.891216501053899</v>
      </c>
      <c r="H152" s="21"/>
      <c r="I152" s="21"/>
      <c r="J152" s="41"/>
      <c r="K152" s="10"/>
      <c r="L152" s="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spans="1:40" ht="14.4" customHeight="1" x14ac:dyDescent="0.3">
      <c r="C153" t="s">
        <v>96</v>
      </c>
      <c r="D153" s="21">
        <v>13.020694006309148</v>
      </c>
      <c r="E153" s="21">
        <f t="shared" si="28"/>
        <v>14.19059839605182</v>
      </c>
      <c r="F153" s="21">
        <f t="shared" si="28"/>
        <v>24.300531914893618</v>
      </c>
      <c r="G153" s="21">
        <f t="shared" si="28"/>
        <v>20.274512331838565</v>
      </c>
      <c r="H153" s="21"/>
      <c r="I153" s="21"/>
      <c r="J153" s="41"/>
      <c r="K153" s="10"/>
      <c r="L153" s="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spans="1:40" ht="14.4" customHeight="1" x14ac:dyDescent="0.3">
      <c r="C154" t="s">
        <v>97</v>
      </c>
      <c r="D154" s="21">
        <v>16.76166497461929</v>
      </c>
      <c r="E154" s="21">
        <f t="shared" si="28"/>
        <v>16.279518754423211</v>
      </c>
      <c r="F154" s="21">
        <f t="shared" si="28"/>
        <v>-54.386904761904759</v>
      </c>
      <c r="G154" s="21">
        <f t="shared" si="28"/>
        <v>23.702313237221492</v>
      </c>
      <c r="H154" s="21"/>
      <c r="I154" s="21"/>
      <c r="J154" s="41"/>
      <c r="K154" s="10"/>
      <c r="L154" s="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spans="1:40" ht="14.4" customHeight="1" x14ac:dyDescent="0.3">
      <c r="C155" t="s">
        <v>98</v>
      </c>
      <c r="D155" s="21">
        <v>22.180649526387008</v>
      </c>
      <c r="E155" s="21">
        <f>IFERROR(E137/E104, "NM")</f>
        <v>15.453815261044179</v>
      </c>
      <c r="F155" s="21">
        <f>IFERROR(F137/F104, "NM")</f>
        <v>-243</v>
      </c>
      <c r="G155" s="21">
        <f>IFERROR(G137/G104, "NM")</f>
        <v>28.88095238095238</v>
      </c>
      <c r="H155" s="21"/>
      <c r="I155" s="21"/>
      <c r="J155" s="41"/>
      <c r="K155" s="10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spans="1:40" ht="14.4" customHeight="1" x14ac:dyDescent="0.3">
      <c r="C156" s="86" t="s">
        <v>99</v>
      </c>
      <c r="J156" s="41"/>
      <c r="K156" s="10"/>
      <c r="L156" s="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spans="1:40" ht="14.4" customHeight="1" x14ac:dyDescent="0.3">
      <c r="C157" t="s">
        <v>100</v>
      </c>
      <c r="D157" s="21">
        <v>5.4796681048788587</v>
      </c>
      <c r="E157" s="21">
        <f t="shared" ref="D157:G159" si="29">IFERROR(E$142/E110, "NM")</f>
        <v>4.5388634569850037</v>
      </c>
      <c r="F157" s="21">
        <f t="shared" si="29"/>
        <v>2.8200617283950615</v>
      </c>
      <c r="G157" s="21">
        <f t="shared" si="29"/>
        <v>9.3534341867080428</v>
      </c>
      <c r="H157" s="21"/>
      <c r="I157" s="21"/>
      <c r="J157" s="41"/>
      <c r="K157" s="10"/>
      <c r="L157" s="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spans="1:40" ht="14.4" customHeight="1" x14ac:dyDescent="0.3">
      <c r="C158" t="s">
        <v>101</v>
      </c>
      <c r="D158" s="21">
        <v>10.436308470290772</v>
      </c>
      <c r="E158" s="21">
        <f t="shared" si="29"/>
        <v>12.235617021276596</v>
      </c>
      <c r="F158" s="21">
        <f t="shared" si="29"/>
        <v>18.274000000000001</v>
      </c>
      <c r="G158" s="21">
        <f t="shared" si="29"/>
        <v>17.322667624521074</v>
      </c>
      <c r="H158" s="21"/>
      <c r="I158" s="21"/>
      <c r="J158" s="41"/>
      <c r="K158" s="10"/>
      <c r="L158" s="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spans="1:40" ht="14.4" customHeight="1" x14ac:dyDescent="0.3">
      <c r="C159" t="s">
        <v>102</v>
      </c>
      <c r="D159" s="21">
        <v>13.368615384615385</v>
      </c>
      <c r="E159" s="21">
        <f t="shared" si="29"/>
        <v>14.034752898108604</v>
      </c>
      <c r="F159" s="21">
        <f t="shared" si="29"/>
        <v>108.77380952380952</v>
      </c>
      <c r="G159" s="21">
        <f t="shared" si="29"/>
        <v>20.184001116071428</v>
      </c>
      <c r="H159" s="21"/>
      <c r="I159" s="21"/>
      <c r="J159" s="41"/>
      <c r="K159" s="10"/>
      <c r="L159" s="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spans="1:40" ht="14.4" customHeight="1" x14ac:dyDescent="0.3">
      <c r="C160" t="s">
        <v>103</v>
      </c>
      <c r="D160" s="21">
        <v>18.61084303150724</v>
      </c>
      <c r="E160" s="21">
        <f>IFERROR(E137/E113, "NM")</f>
        <v>13.549295774647888</v>
      </c>
      <c r="F160" s="21">
        <f>IFERROR(F137/F113, "NM")</f>
        <v>101.25</v>
      </c>
      <c r="G160" s="21">
        <f>IFERROR(G137/G113, "NM")</f>
        <v>24.958847736625511</v>
      </c>
      <c r="H160" s="21"/>
      <c r="I160" s="21"/>
      <c r="J160" s="41"/>
      <c r="K160" s="10"/>
      <c r="L160" s="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spans="1:44" ht="14.4" customHeight="1" x14ac:dyDescent="0.3">
      <c r="J161" s="41"/>
      <c r="K161" s="10"/>
      <c r="L161" s="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spans="1:44" ht="14.4" customHeight="1" x14ac:dyDescent="0.3">
      <c r="C162" t="s">
        <v>104</v>
      </c>
      <c r="D162" s="21">
        <v>0.98580664561720033</v>
      </c>
      <c r="E162" s="21">
        <f>IFERROR(E155/(E118*100), "NM")</f>
        <v>0.8491107286288011</v>
      </c>
      <c r="F162" s="21">
        <f>IFERROR(F155/(F118*100), "NM")</f>
        <v>-10.125</v>
      </c>
      <c r="G162" s="21">
        <f>IFERROR(G155/(G118*100), "NM")</f>
        <v>1.6503401360544216</v>
      </c>
      <c r="H162" s="21"/>
      <c r="I162" s="21"/>
      <c r="J162" s="17"/>
      <c r="K162" s="10"/>
      <c r="L162" s="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spans="1:44" ht="14.4" customHeight="1" x14ac:dyDescent="0.3">
      <c r="J163" s="17"/>
      <c r="K163" s="10"/>
      <c r="L163" s="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spans="1:44" ht="14.4" customHeight="1" x14ac:dyDescent="0.3">
      <c r="J164" s="17"/>
      <c r="K164" s="10"/>
      <c r="L164" s="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spans="1:44" x14ac:dyDescent="0.3">
      <c r="J165" s="17"/>
      <c r="L165" s="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spans="1:44" x14ac:dyDescent="0.3">
      <c r="J166" s="17"/>
      <c r="L166" s="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spans="1:44" x14ac:dyDescent="0.3">
      <c r="J167" s="39"/>
      <c r="L167" s="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 ht="6.7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 spans="1:44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spans="1:44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spans="1:44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spans="1:44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spans="1:44" x14ac:dyDescent="0.3">
      <c r="A174" s="4"/>
      <c r="B174" s="4"/>
      <c r="C174" s="4"/>
      <c r="D174" s="88"/>
      <c r="E174" s="4"/>
      <c r="F174" s="4"/>
      <c r="G174" s="4"/>
      <c r="H174" s="4"/>
      <c r="I174" s="4"/>
      <c r="J174" s="4"/>
      <c r="K174" s="4"/>
      <c r="L174" s="1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spans="1:44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spans="1:44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spans="1:40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spans="1:40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spans="1:40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spans="1:40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spans="1:40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spans="1:40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spans="1:40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spans="1:40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spans="1:40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spans="1:40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spans="1:40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 spans="1:40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spans="1:40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spans="1:40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spans="1:40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spans="1:40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spans="1:40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spans="1:40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spans="1:40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spans="1:40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spans="1:40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spans="1:40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spans="1:40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spans="1:40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spans="1:40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spans="1:40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spans="1:40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spans="1:40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spans="1:40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spans="1:40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spans="1:40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spans="1:40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spans="1:40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spans="1:40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spans="1:40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spans="1:40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spans="1:40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spans="1:40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spans="1:40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spans="1:40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spans="1:40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spans="1:40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spans="1:40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 spans="1:40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spans="1:40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 spans="1:40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spans="1:40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spans="1:40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spans="1:40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spans="1:40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spans="1:40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spans="1:40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spans="1:40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spans="1:40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spans="1:40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spans="1:40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spans="1:40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spans="1:40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spans="1:40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spans="1:40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spans="1:40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spans="1:40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spans="1:40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spans="1:40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spans="1:40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spans="1:40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spans="1:40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spans="1:40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spans="1:40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spans="1:40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spans="1:40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spans="1:40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spans="1:40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spans="1:40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spans="1:40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spans="1:40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spans="1:40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spans="1:40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spans="1:40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spans="1:40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spans="1:40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spans="1:40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spans="1:40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spans="1:40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spans="1:40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spans="1:40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spans="1:40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spans="1:40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spans="1:40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spans="1:40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spans="1:40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spans="1:40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40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40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40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40" x14ac:dyDescent="0.3">
      <c r="J272" s="4"/>
      <c r="K272" s="4"/>
      <c r="L272" s="4"/>
      <c r="M272" s="4"/>
    </row>
    <row r="273" spans="10:13" x14ac:dyDescent="0.3">
      <c r="J273" s="4"/>
      <c r="K273" s="4"/>
      <c r="L273" s="4"/>
      <c r="M273" s="4"/>
    </row>
    <row r="274" spans="10:13" x14ac:dyDescent="0.3">
      <c r="J274" s="4"/>
      <c r="K274" s="4"/>
      <c r="L274" s="4"/>
      <c r="M274" s="4"/>
    </row>
    <row r="275" spans="10:13" x14ac:dyDescent="0.3">
      <c r="J275" s="4"/>
      <c r="K275" s="4"/>
      <c r="L275" s="4"/>
      <c r="M275" s="4"/>
    </row>
    <row r="276" spans="10:13" x14ac:dyDescent="0.3">
      <c r="J276" s="4"/>
      <c r="K276" s="4"/>
      <c r="L276" s="4"/>
      <c r="M276" s="4"/>
    </row>
    <row r="277" spans="10:13" x14ac:dyDescent="0.3">
      <c r="J277" s="4"/>
      <c r="K277" s="4"/>
      <c r="L277" s="4"/>
      <c r="M277" s="4"/>
    </row>
    <row r="278" spans="10:13" x14ac:dyDescent="0.3">
      <c r="J278" s="4"/>
      <c r="K278" s="4"/>
      <c r="L278" s="4"/>
      <c r="M278" s="4"/>
    </row>
    <row r="279" spans="10:13" x14ac:dyDescent="0.3">
      <c r="J279" s="4"/>
      <c r="K279" s="4"/>
      <c r="L279" s="4"/>
      <c r="M279" s="4"/>
    </row>
    <row r="280" spans="10:13" x14ac:dyDescent="0.3">
      <c r="J280" s="4"/>
      <c r="K280" s="4"/>
      <c r="L280" s="4"/>
      <c r="M280" s="4"/>
    </row>
    <row r="281" spans="10:13" x14ac:dyDescent="0.3">
      <c r="J281" s="4"/>
      <c r="K281" s="4"/>
      <c r="L281" s="4"/>
      <c r="M281" s="4"/>
    </row>
    <row r="282" spans="10:13" x14ac:dyDescent="0.3">
      <c r="J282" s="4"/>
      <c r="K282" s="4"/>
      <c r="L282" s="4"/>
      <c r="M282" s="4"/>
    </row>
    <row r="283" spans="10:13" x14ac:dyDescent="0.3">
      <c r="J283" s="4"/>
      <c r="K283" s="4"/>
      <c r="L283" s="4"/>
      <c r="M283" s="4"/>
    </row>
    <row r="284" spans="10:13" x14ac:dyDescent="0.3">
      <c r="J284" s="4"/>
      <c r="K284" s="4"/>
      <c r="L284" s="4"/>
      <c r="M284" s="4"/>
    </row>
    <row r="285" spans="10:13" x14ac:dyDescent="0.3">
      <c r="J285" s="4"/>
      <c r="K285" s="4"/>
      <c r="L285" s="4"/>
      <c r="M285" s="4"/>
    </row>
    <row r="286" spans="10:13" x14ac:dyDescent="0.3">
      <c r="J286" s="4"/>
      <c r="K286" s="4"/>
      <c r="L286" s="4"/>
      <c r="M286" s="4"/>
    </row>
    <row r="287" spans="10:13" x14ac:dyDescent="0.3">
      <c r="J287" s="4"/>
      <c r="K287" s="4"/>
      <c r="L287" s="4"/>
      <c r="M287" s="4"/>
    </row>
    <row r="288" spans="10:13" x14ac:dyDescent="0.3">
      <c r="J288" s="4"/>
      <c r="K288" s="4"/>
      <c r="L288" s="4"/>
      <c r="M288" s="4"/>
    </row>
    <row r="289" spans="10:13" x14ac:dyDescent="0.3">
      <c r="J289" s="4"/>
      <c r="K289" s="4"/>
      <c r="L289" s="4"/>
      <c r="M289" s="4"/>
    </row>
    <row r="290" spans="10:13" x14ac:dyDescent="0.3">
      <c r="J290" s="4"/>
      <c r="K290" s="4"/>
      <c r="L290" s="4"/>
      <c r="M290" s="4"/>
    </row>
    <row r="291" spans="10:13" x14ac:dyDescent="0.3">
      <c r="J291" s="4"/>
      <c r="K291" s="4"/>
      <c r="L291" s="4"/>
      <c r="M291" s="4"/>
    </row>
    <row r="292" spans="10:13" x14ac:dyDescent="0.3">
      <c r="J292" s="4"/>
      <c r="K292" s="4"/>
      <c r="L292" s="4"/>
      <c r="M292" s="4"/>
    </row>
    <row r="293" spans="10:13" x14ac:dyDescent="0.3">
      <c r="J293" s="4"/>
      <c r="M293" s="4"/>
    </row>
    <row r="294" spans="10:13" x14ac:dyDescent="0.3">
      <c r="J294" s="4"/>
      <c r="M294" s="4"/>
    </row>
    <row r="295" spans="10:13" x14ac:dyDescent="0.3">
      <c r="J295" s="4"/>
      <c r="M295" s="4"/>
    </row>
    <row r="296" spans="10:13" x14ac:dyDescent="0.3">
      <c r="J296" s="4"/>
      <c r="M296" s="4"/>
    </row>
    <row r="297" spans="10:13" x14ac:dyDescent="0.3">
      <c r="J297" s="4"/>
      <c r="M297" s="4"/>
    </row>
    <row r="298" spans="10:13" x14ac:dyDescent="0.3">
      <c r="J298" s="4"/>
      <c r="M298" s="4"/>
    </row>
    <row r="299" spans="10:13" x14ac:dyDescent="0.3">
      <c r="J299" s="4"/>
      <c r="M299" s="4"/>
    </row>
    <row r="300" spans="10:13" x14ac:dyDescent="0.3">
      <c r="J300" s="4"/>
      <c r="M300" s="4"/>
    </row>
    <row r="301" spans="10:13" x14ac:dyDescent="0.3">
      <c r="J301" s="4"/>
      <c r="M301" s="4"/>
    </row>
    <row r="302" spans="10:13" x14ac:dyDescent="0.3">
      <c r="J302" s="4"/>
      <c r="M302" s="4"/>
    </row>
    <row r="303" spans="10:13" x14ac:dyDescent="0.3">
      <c r="J303" s="4"/>
      <c r="M303" s="4"/>
    </row>
    <row r="304" spans="10:13" x14ac:dyDescent="0.3">
      <c r="J304" s="4"/>
      <c r="M304" s="4"/>
    </row>
    <row r="305" spans="10:13" x14ac:dyDescent="0.3">
      <c r="J305" s="4"/>
      <c r="M305" s="4"/>
    </row>
    <row r="306" spans="10:13" x14ac:dyDescent="0.3">
      <c r="J306" s="4"/>
      <c r="M306" s="4"/>
    </row>
    <row r="307" spans="10:13" x14ac:dyDescent="0.3">
      <c r="J307" s="4"/>
      <c r="M307" s="4"/>
    </row>
    <row r="308" spans="10:13" x14ac:dyDescent="0.3">
      <c r="J308" s="4"/>
      <c r="M308" s="4"/>
    </row>
    <row r="309" spans="10:13" x14ac:dyDescent="0.3">
      <c r="J309" s="4"/>
      <c r="M309" s="4"/>
    </row>
    <row r="310" spans="10:13" x14ac:dyDescent="0.3">
      <c r="J310" s="4"/>
      <c r="M310" s="4"/>
    </row>
    <row r="311" spans="10:13" x14ac:dyDescent="0.3">
      <c r="J311" s="4"/>
      <c r="M311" s="4"/>
    </row>
    <row r="312" spans="10:13" x14ac:dyDescent="0.3">
      <c r="J312" s="4"/>
      <c r="M312" s="4"/>
    </row>
    <row r="313" spans="10:13" x14ac:dyDescent="0.3">
      <c r="J313" s="4"/>
      <c r="M313" s="4"/>
    </row>
    <row r="314" spans="10:13" x14ac:dyDescent="0.3">
      <c r="J314" s="4"/>
      <c r="M314" s="4"/>
    </row>
    <row r="315" spans="10:13" x14ac:dyDescent="0.3">
      <c r="J315" s="4"/>
      <c r="M315" s="4"/>
    </row>
    <row r="316" spans="10:13" x14ac:dyDescent="0.3">
      <c r="J316" s="4"/>
      <c r="M316" s="4"/>
    </row>
    <row r="317" spans="10:13" x14ac:dyDescent="0.3">
      <c r="J317" s="4"/>
      <c r="M317" s="4"/>
    </row>
    <row r="318" spans="10:13" x14ac:dyDescent="0.3">
      <c r="J318" s="4"/>
      <c r="M318" s="4"/>
    </row>
    <row r="319" spans="10:13" x14ac:dyDescent="0.3">
      <c r="J319" s="4"/>
      <c r="M319" s="4"/>
    </row>
    <row r="320" spans="10:13" x14ac:dyDescent="0.3">
      <c r="J320" s="4"/>
      <c r="M320" s="4"/>
    </row>
    <row r="321" spans="10:13" x14ac:dyDescent="0.3">
      <c r="J321" s="4"/>
      <c r="M321" s="4"/>
    </row>
    <row r="322" spans="10:13" x14ac:dyDescent="0.3">
      <c r="J322" s="4"/>
      <c r="M322" s="4"/>
    </row>
    <row r="323" spans="10:13" x14ac:dyDescent="0.3">
      <c r="J323" s="4"/>
      <c r="M323" s="4"/>
    </row>
    <row r="324" spans="10:13" x14ac:dyDescent="0.3">
      <c r="J324" s="4"/>
      <c r="M324" s="4"/>
    </row>
    <row r="325" spans="10:13" x14ac:dyDescent="0.3">
      <c r="J325" s="4"/>
      <c r="M325" s="4"/>
    </row>
    <row r="326" spans="10:13" x14ac:dyDescent="0.3">
      <c r="J326" s="4"/>
      <c r="M326" s="4"/>
    </row>
    <row r="327" spans="10:13" x14ac:dyDescent="0.3">
      <c r="J327" s="4"/>
      <c r="M327" s="4"/>
    </row>
    <row r="328" spans="10:13" x14ac:dyDescent="0.3">
      <c r="J328" s="4"/>
      <c r="M328" s="4"/>
    </row>
    <row r="329" spans="10:13" x14ac:dyDescent="0.3">
      <c r="J329" s="4"/>
      <c r="M329" s="4"/>
    </row>
    <row r="330" spans="10:13" x14ac:dyDescent="0.3">
      <c r="J330" s="4"/>
      <c r="M330" s="4"/>
    </row>
    <row r="331" spans="10:13" x14ac:dyDescent="0.3">
      <c r="J331" s="4"/>
      <c r="M331" s="4"/>
    </row>
    <row r="332" spans="10:13" x14ac:dyDescent="0.3">
      <c r="J332" s="4"/>
      <c r="M332" s="4"/>
    </row>
    <row r="333" spans="10:13" x14ac:dyDescent="0.3">
      <c r="J333" s="4"/>
      <c r="M333" s="4"/>
    </row>
    <row r="334" spans="10:13" x14ac:dyDescent="0.3">
      <c r="J334" s="4"/>
      <c r="M334" s="4"/>
    </row>
    <row r="335" spans="10:13" x14ac:dyDescent="0.3">
      <c r="J335" s="4"/>
      <c r="M335" s="4"/>
    </row>
    <row r="336" spans="10:13" x14ac:dyDescent="0.3">
      <c r="J336" s="4"/>
      <c r="M336" s="4"/>
    </row>
    <row r="337" spans="10:13" x14ac:dyDescent="0.3">
      <c r="J337" s="4"/>
      <c r="M337" s="4"/>
    </row>
    <row r="338" spans="10:13" x14ac:dyDescent="0.3">
      <c r="J338" s="4"/>
      <c r="M338" s="4"/>
    </row>
    <row r="339" spans="10:13" x14ac:dyDescent="0.3">
      <c r="J339" s="4"/>
      <c r="M339" s="4"/>
    </row>
    <row r="340" spans="10:13" x14ac:dyDescent="0.3">
      <c r="J340" s="4"/>
      <c r="M340" s="4"/>
    </row>
    <row r="341" spans="10:13" x14ac:dyDescent="0.3">
      <c r="J341" s="4"/>
      <c r="M341" s="4"/>
    </row>
    <row r="342" spans="10:13" x14ac:dyDescent="0.3">
      <c r="J342" s="4"/>
      <c r="M342" s="4"/>
    </row>
    <row r="343" spans="10:13" x14ac:dyDescent="0.3">
      <c r="J343" s="4"/>
      <c r="M343" s="4"/>
    </row>
    <row r="344" spans="10:13" x14ac:dyDescent="0.3">
      <c r="J344" s="4"/>
      <c r="M344" s="4"/>
    </row>
    <row r="345" spans="10:13" x14ac:dyDescent="0.3">
      <c r="J345" s="4"/>
      <c r="M345" s="4"/>
    </row>
    <row r="346" spans="10:13" x14ac:dyDescent="0.3">
      <c r="J346" s="4"/>
      <c r="M346" s="4"/>
    </row>
    <row r="347" spans="10:13" x14ac:dyDescent="0.3">
      <c r="J347" s="4"/>
      <c r="M347" s="4"/>
    </row>
    <row r="348" spans="10:13" x14ac:dyDescent="0.3">
      <c r="J348" s="4"/>
      <c r="M348" s="4"/>
    </row>
    <row r="349" spans="10:13" x14ac:dyDescent="0.3">
      <c r="J349" s="4"/>
      <c r="M349" s="4"/>
    </row>
    <row r="350" spans="10:13" x14ac:dyDescent="0.3">
      <c r="J350" s="4"/>
      <c r="M350" s="4"/>
    </row>
    <row r="351" spans="10:13" x14ac:dyDescent="0.3">
      <c r="J351" s="4"/>
      <c r="M351" s="4"/>
    </row>
    <row r="352" spans="10:13" x14ac:dyDescent="0.3">
      <c r="J352" s="4"/>
      <c r="M352" s="4"/>
    </row>
    <row r="353" spans="10:13" x14ac:dyDescent="0.3">
      <c r="J353" s="4"/>
      <c r="M353" s="4"/>
    </row>
    <row r="354" spans="10:13" x14ac:dyDescent="0.3">
      <c r="J354" s="4"/>
      <c r="M354" s="4"/>
    </row>
    <row r="355" spans="10:13" x14ac:dyDescent="0.3">
      <c r="J355" s="4"/>
      <c r="M355" s="4"/>
    </row>
    <row r="356" spans="10:13" x14ac:dyDescent="0.3">
      <c r="J356" s="4"/>
      <c r="M356" s="4"/>
    </row>
    <row r="357" spans="10:13" x14ac:dyDescent="0.3">
      <c r="J357" s="4"/>
      <c r="M357" s="4"/>
    </row>
    <row r="358" spans="10:13" x14ac:dyDescent="0.3">
      <c r="J358" s="4"/>
      <c r="M358" s="4"/>
    </row>
    <row r="359" spans="10:13" x14ac:dyDescent="0.3">
      <c r="J359" s="4"/>
      <c r="M359" s="4"/>
    </row>
    <row r="360" spans="10:13" x14ac:dyDescent="0.3">
      <c r="J360" s="4"/>
      <c r="M360" s="4"/>
    </row>
    <row r="361" spans="10:13" x14ac:dyDescent="0.3">
      <c r="J361" s="4"/>
      <c r="M361" s="4"/>
    </row>
    <row r="362" spans="10:13" x14ac:dyDescent="0.3">
      <c r="J362" s="4"/>
      <c r="M362" s="4"/>
    </row>
    <row r="363" spans="10:13" x14ac:dyDescent="0.3">
      <c r="J363" s="4"/>
      <c r="M363" s="4"/>
    </row>
    <row r="364" spans="10:13" x14ac:dyDescent="0.3">
      <c r="J364" s="4"/>
      <c r="M364" s="4"/>
    </row>
    <row r="365" spans="10:13" x14ac:dyDescent="0.3">
      <c r="J365" s="4"/>
      <c r="M365" s="4"/>
    </row>
    <row r="366" spans="10:13" x14ac:dyDescent="0.3">
      <c r="J366" s="4"/>
      <c r="M366" s="4"/>
    </row>
    <row r="367" spans="10:13" x14ac:dyDescent="0.3">
      <c r="J367" s="4"/>
      <c r="M367" s="4"/>
    </row>
    <row r="368" spans="10:13" x14ac:dyDescent="0.3">
      <c r="J368" s="4"/>
      <c r="M368" s="4"/>
    </row>
    <row r="369" spans="10:13" x14ac:dyDescent="0.3">
      <c r="J369" s="4"/>
      <c r="M369" s="4"/>
    </row>
    <row r="370" spans="10:13" x14ac:dyDescent="0.3">
      <c r="J370" s="4"/>
      <c r="M370" s="4"/>
    </row>
    <row r="371" spans="10:13" x14ac:dyDescent="0.3">
      <c r="J371" s="4"/>
      <c r="M371" s="4"/>
    </row>
    <row r="372" spans="10:13" x14ac:dyDescent="0.3">
      <c r="J372" s="4"/>
      <c r="M372" s="4"/>
    </row>
    <row r="373" spans="10:13" x14ac:dyDescent="0.3">
      <c r="J373" s="4"/>
      <c r="M373" s="4"/>
    </row>
    <row r="374" spans="10:13" x14ac:dyDescent="0.3">
      <c r="J374" s="4"/>
      <c r="M374" s="4"/>
    </row>
    <row r="375" spans="10:13" x14ac:dyDescent="0.3">
      <c r="J375" s="4"/>
      <c r="M375" s="4"/>
    </row>
    <row r="376" spans="10:13" x14ac:dyDescent="0.3">
      <c r="J376" s="4"/>
      <c r="M376" s="4"/>
    </row>
    <row r="377" spans="10:13" x14ac:dyDescent="0.3">
      <c r="J377" s="4"/>
      <c r="M377" s="4"/>
    </row>
    <row r="378" spans="10:13" x14ac:dyDescent="0.3">
      <c r="J378" s="4"/>
      <c r="M378" s="4"/>
    </row>
    <row r="379" spans="10:13" x14ac:dyDescent="0.3">
      <c r="J379" s="4"/>
      <c r="M379" s="4"/>
    </row>
    <row r="380" spans="10:13" x14ac:dyDescent="0.3">
      <c r="J380" s="4"/>
      <c r="M380" s="4"/>
    </row>
    <row r="381" spans="10:13" x14ac:dyDescent="0.3">
      <c r="J381" s="4"/>
      <c r="M381" s="4"/>
    </row>
    <row r="382" spans="10:13" x14ac:dyDescent="0.3">
      <c r="J382" s="4"/>
      <c r="M382" s="4"/>
    </row>
    <row r="383" spans="10:13" x14ac:dyDescent="0.3">
      <c r="J383" s="4"/>
      <c r="M383" s="4"/>
    </row>
    <row r="384" spans="10:13" x14ac:dyDescent="0.3">
      <c r="J384" s="4"/>
      <c r="M384" s="4"/>
    </row>
    <row r="385" spans="10:13" x14ac:dyDescent="0.3">
      <c r="J385" s="4"/>
      <c r="M385" s="4"/>
    </row>
    <row r="386" spans="10:13" x14ac:dyDescent="0.3">
      <c r="J386" s="4"/>
      <c r="M386" s="4"/>
    </row>
    <row r="387" spans="10:13" x14ac:dyDescent="0.3">
      <c r="J387" s="4"/>
      <c r="M387" s="4"/>
    </row>
    <row r="388" spans="10:13" x14ac:dyDescent="0.3">
      <c r="J388" s="4"/>
      <c r="M388" s="4"/>
    </row>
    <row r="389" spans="10:13" x14ac:dyDescent="0.3">
      <c r="J389" s="4"/>
      <c r="M389" s="4"/>
    </row>
    <row r="390" spans="10:13" x14ac:dyDescent="0.3">
      <c r="J390" s="4"/>
      <c r="M390" s="4"/>
    </row>
    <row r="391" spans="10:13" x14ac:dyDescent="0.3">
      <c r="J391" s="4"/>
      <c r="M391" s="4"/>
    </row>
    <row r="392" spans="10:13" x14ac:dyDescent="0.3">
      <c r="J392" s="4"/>
      <c r="M392" s="4"/>
    </row>
    <row r="393" spans="10:13" x14ac:dyDescent="0.3">
      <c r="J393" s="4"/>
      <c r="M393" s="4"/>
    </row>
    <row r="394" spans="10:13" x14ac:dyDescent="0.3">
      <c r="J394" s="4"/>
      <c r="M394" s="4"/>
    </row>
    <row r="395" spans="10:13" x14ac:dyDescent="0.3">
      <c r="J395" s="4"/>
      <c r="M395" s="4"/>
    </row>
    <row r="396" spans="10:13" x14ac:dyDescent="0.3">
      <c r="J396" s="4"/>
      <c r="M396" s="4"/>
    </row>
    <row r="397" spans="10:13" x14ac:dyDescent="0.3">
      <c r="J397" s="4"/>
      <c r="M397" s="4"/>
    </row>
    <row r="398" spans="10:13" x14ac:dyDescent="0.3">
      <c r="J398" s="4"/>
      <c r="M398" s="4"/>
    </row>
    <row r="399" spans="10:13" x14ac:dyDescent="0.3">
      <c r="J399" s="4"/>
      <c r="M399" s="4"/>
    </row>
    <row r="400" spans="10:13" x14ac:dyDescent="0.3">
      <c r="J400" s="4"/>
      <c r="M400" s="4"/>
    </row>
    <row r="401" spans="10:13" x14ac:dyDescent="0.3">
      <c r="J401" s="4"/>
      <c r="M401" s="4"/>
    </row>
    <row r="402" spans="10:13" x14ac:dyDescent="0.3">
      <c r="J402" s="4"/>
      <c r="M402" s="4"/>
    </row>
    <row r="403" spans="10:13" x14ac:dyDescent="0.3">
      <c r="J403" s="4"/>
      <c r="M403" s="4"/>
    </row>
    <row r="404" spans="10:13" x14ac:dyDescent="0.3">
      <c r="J404" s="4"/>
      <c r="M404" s="4"/>
    </row>
    <row r="405" spans="10:13" x14ac:dyDescent="0.3">
      <c r="J405" s="4"/>
      <c r="M405" s="4"/>
    </row>
    <row r="406" spans="10:13" x14ac:dyDescent="0.3">
      <c r="J406" s="4"/>
      <c r="M406" s="4"/>
    </row>
    <row r="407" spans="10:13" x14ac:dyDescent="0.3">
      <c r="J407" s="4"/>
      <c r="M407" s="4"/>
    </row>
    <row r="408" spans="10:13" x14ac:dyDescent="0.3">
      <c r="J408" s="4"/>
      <c r="M408" s="4"/>
    </row>
    <row r="409" spans="10:13" x14ac:dyDescent="0.3">
      <c r="J409" s="4"/>
      <c r="M409" s="4"/>
    </row>
    <row r="410" spans="10:13" x14ac:dyDescent="0.3">
      <c r="J410" s="4"/>
      <c r="M410" s="4"/>
    </row>
    <row r="411" spans="10:13" x14ac:dyDescent="0.3">
      <c r="J411" s="4"/>
      <c r="M411" s="4"/>
    </row>
    <row r="412" spans="10:13" x14ac:dyDescent="0.3">
      <c r="J412" s="4"/>
      <c r="M412" s="4"/>
    </row>
    <row r="413" spans="10:13" x14ac:dyDescent="0.3">
      <c r="J413" s="4"/>
      <c r="M413" s="4"/>
    </row>
    <row r="414" spans="10:13" x14ac:dyDescent="0.3">
      <c r="J414" s="4"/>
      <c r="M414" s="4"/>
    </row>
    <row r="415" spans="10:13" x14ac:dyDescent="0.3">
      <c r="J415" s="4"/>
      <c r="M415" s="4"/>
    </row>
    <row r="416" spans="10:13" x14ac:dyDescent="0.3">
      <c r="J416" s="4"/>
      <c r="M416" s="4"/>
    </row>
    <row r="417" spans="10:13" x14ac:dyDescent="0.3">
      <c r="J417" s="4"/>
      <c r="M417" s="4"/>
    </row>
    <row r="418" spans="10:13" x14ac:dyDescent="0.3">
      <c r="J418" s="4"/>
      <c r="M418" s="4"/>
    </row>
    <row r="419" spans="10:13" x14ac:dyDescent="0.3">
      <c r="J419" s="4"/>
      <c r="M419" s="4"/>
    </row>
    <row r="420" spans="10:13" x14ac:dyDescent="0.3">
      <c r="J420" s="4"/>
      <c r="M420" s="4"/>
    </row>
    <row r="421" spans="10:13" x14ac:dyDescent="0.3">
      <c r="J421" s="4"/>
      <c r="M421" s="4"/>
    </row>
    <row r="422" spans="10:13" x14ac:dyDescent="0.3">
      <c r="J422" s="4"/>
      <c r="M422" s="4"/>
    </row>
    <row r="423" spans="10:13" x14ac:dyDescent="0.3">
      <c r="J423" s="4"/>
      <c r="M423" s="4"/>
    </row>
    <row r="424" spans="10:13" x14ac:dyDescent="0.3">
      <c r="J424" s="4"/>
      <c r="M424" s="4"/>
    </row>
    <row r="425" spans="10:13" x14ac:dyDescent="0.3">
      <c r="J425" s="4"/>
      <c r="M425" s="4"/>
    </row>
    <row r="426" spans="10:13" x14ac:dyDescent="0.3">
      <c r="J426" s="4"/>
      <c r="M426" s="4"/>
    </row>
    <row r="427" spans="10:13" x14ac:dyDescent="0.3">
      <c r="J427" s="4"/>
      <c r="M427" s="4"/>
    </row>
    <row r="428" spans="10:13" x14ac:dyDescent="0.3">
      <c r="J428" s="4"/>
      <c r="M428" s="4"/>
    </row>
    <row r="429" spans="10:13" x14ac:dyDescent="0.3">
      <c r="J429" s="4"/>
      <c r="M429" s="4"/>
    </row>
    <row r="430" spans="10:13" x14ac:dyDescent="0.3">
      <c r="J430" s="4"/>
      <c r="M430" s="4"/>
    </row>
    <row r="431" spans="10:13" x14ac:dyDescent="0.3">
      <c r="J431" s="4"/>
      <c r="M431" s="4"/>
    </row>
    <row r="432" spans="10:13" x14ac:dyDescent="0.3">
      <c r="J432" s="4"/>
      <c r="M432" s="4"/>
    </row>
    <row r="433" spans="10:13" x14ac:dyDescent="0.3">
      <c r="J433" s="4"/>
      <c r="M433" s="4"/>
    </row>
    <row r="434" spans="10:13" x14ac:dyDescent="0.3">
      <c r="J434" s="4"/>
      <c r="M434" s="4"/>
    </row>
    <row r="435" spans="10:13" x14ac:dyDescent="0.3">
      <c r="J435" s="4"/>
      <c r="M435" s="4"/>
    </row>
    <row r="436" spans="10:13" x14ac:dyDescent="0.3">
      <c r="J436" s="4"/>
      <c r="M436" s="4"/>
    </row>
    <row r="437" spans="10:13" x14ac:dyDescent="0.3">
      <c r="J437" s="4"/>
      <c r="M437" s="4"/>
    </row>
    <row r="438" spans="10:13" x14ac:dyDescent="0.3">
      <c r="J438" s="4"/>
      <c r="M438" s="4"/>
    </row>
    <row r="439" spans="10:13" x14ac:dyDescent="0.3">
      <c r="J439" s="4"/>
      <c r="M439" s="4"/>
    </row>
    <row r="440" spans="10:13" x14ac:dyDescent="0.3">
      <c r="J440" s="4"/>
      <c r="M440" s="4"/>
    </row>
    <row r="441" spans="10:13" x14ac:dyDescent="0.3">
      <c r="J441" s="4"/>
      <c r="M441" s="4"/>
    </row>
    <row r="442" spans="10:13" x14ac:dyDescent="0.3">
      <c r="J442" s="4"/>
      <c r="M442" s="4"/>
    </row>
    <row r="443" spans="10:13" x14ac:dyDescent="0.3">
      <c r="J443" s="4"/>
      <c r="M443" s="4"/>
    </row>
    <row r="444" spans="10:13" x14ac:dyDescent="0.3">
      <c r="J444" s="4"/>
      <c r="M444" s="4"/>
    </row>
    <row r="445" spans="10:13" x14ac:dyDescent="0.3">
      <c r="J445" s="4"/>
      <c r="M445" s="4"/>
    </row>
    <row r="446" spans="10:13" x14ac:dyDescent="0.3">
      <c r="J446" s="4"/>
      <c r="M446" s="4"/>
    </row>
    <row r="447" spans="10:13" x14ac:dyDescent="0.3">
      <c r="J447" s="4"/>
      <c r="M447" s="4"/>
    </row>
    <row r="448" spans="10:13" x14ac:dyDescent="0.3">
      <c r="J448" s="4"/>
      <c r="M448" s="4"/>
    </row>
    <row r="449" spans="10:13" x14ac:dyDescent="0.3">
      <c r="J449" s="4"/>
      <c r="M449" s="4"/>
    </row>
    <row r="450" spans="10:13" x14ac:dyDescent="0.3">
      <c r="J450" s="4"/>
      <c r="M450" s="4"/>
    </row>
    <row r="451" spans="10:13" x14ac:dyDescent="0.3">
      <c r="J451" s="4"/>
      <c r="M451" s="4"/>
    </row>
    <row r="452" spans="10:13" x14ac:dyDescent="0.3">
      <c r="J452" s="4"/>
      <c r="M452" s="4"/>
    </row>
    <row r="453" spans="10:13" x14ac:dyDescent="0.3">
      <c r="J453" s="4"/>
      <c r="M453" s="4"/>
    </row>
    <row r="454" spans="10:13" x14ac:dyDescent="0.3">
      <c r="J454" s="4"/>
      <c r="M454" s="4"/>
    </row>
    <row r="455" spans="10:13" x14ac:dyDescent="0.3">
      <c r="J455" s="4"/>
      <c r="M455" s="4"/>
    </row>
    <row r="456" spans="10:13" x14ac:dyDescent="0.3">
      <c r="J456" s="4"/>
      <c r="M456" s="4"/>
    </row>
    <row r="457" spans="10:13" x14ac:dyDescent="0.3">
      <c r="J457" s="4"/>
      <c r="M457" s="4"/>
    </row>
    <row r="458" spans="10:13" x14ac:dyDescent="0.3">
      <c r="J458" s="4"/>
      <c r="M458" s="4"/>
    </row>
    <row r="459" spans="10:13" x14ac:dyDescent="0.3">
      <c r="J459" s="4"/>
      <c r="M459" s="4"/>
    </row>
    <row r="460" spans="10:13" x14ac:dyDescent="0.3">
      <c r="J460" s="4"/>
      <c r="M460" s="4"/>
    </row>
    <row r="461" spans="10:13" x14ac:dyDescent="0.3">
      <c r="J461" s="4"/>
      <c r="M461" s="4"/>
    </row>
    <row r="462" spans="10:13" x14ac:dyDescent="0.3">
      <c r="J462" s="4"/>
      <c r="M462" s="4"/>
    </row>
    <row r="463" spans="10:13" x14ac:dyDescent="0.3">
      <c r="J463" s="4"/>
      <c r="M463" s="4"/>
    </row>
    <row r="464" spans="10:13" x14ac:dyDescent="0.3">
      <c r="J464" s="4"/>
      <c r="M464" s="4"/>
    </row>
    <row r="465" spans="10:13" x14ac:dyDescent="0.3">
      <c r="J465" s="4"/>
      <c r="M465" s="4"/>
    </row>
    <row r="466" spans="10:13" x14ac:dyDescent="0.3">
      <c r="J466" s="4"/>
      <c r="M466" s="4"/>
    </row>
    <row r="467" spans="10:13" x14ac:dyDescent="0.3">
      <c r="J467" s="4"/>
      <c r="M467" s="4"/>
    </row>
    <row r="468" spans="10:13" x14ac:dyDescent="0.3">
      <c r="J468" s="4"/>
      <c r="M468" s="4"/>
    </row>
    <row r="469" spans="10:13" x14ac:dyDescent="0.3">
      <c r="J469" s="4"/>
      <c r="M469" s="4"/>
    </row>
    <row r="470" spans="10:13" x14ac:dyDescent="0.3">
      <c r="J470" s="4"/>
      <c r="M470" s="4"/>
    </row>
    <row r="471" spans="10:13" x14ac:dyDescent="0.3">
      <c r="J471" s="4"/>
      <c r="M471" s="4"/>
    </row>
    <row r="472" spans="10:13" x14ac:dyDescent="0.3">
      <c r="J472" s="4"/>
      <c r="M472" s="4"/>
    </row>
    <row r="473" spans="10:13" x14ac:dyDescent="0.3">
      <c r="J473" s="4"/>
      <c r="M473" s="4"/>
    </row>
    <row r="474" spans="10:13" x14ac:dyDescent="0.3">
      <c r="J474" s="4"/>
      <c r="M474" s="4"/>
    </row>
    <row r="475" spans="10:13" x14ac:dyDescent="0.3">
      <c r="J475" s="4"/>
      <c r="M475" s="4"/>
    </row>
    <row r="476" spans="10:13" x14ac:dyDescent="0.3">
      <c r="J476" s="4"/>
      <c r="M476" s="4"/>
    </row>
    <row r="477" spans="10:13" x14ac:dyDescent="0.3">
      <c r="J477" s="4"/>
      <c r="M477" s="4"/>
    </row>
    <row r="478" spans="10:13" x14ac:dyDescent="0.3">
      <c r="J478" s="4"/>
      <c r="M478" s="4"/>
    </row>
    <row r="479" spans="10:13" x14ac:dyDescent="0.3">
      <c r="J479" s="4"/>
      <c r="M479" s="4"/>
    </row>
    <row r="480" spans="10:13" x14ac:dyDescent="0.3">
      <c r="J480" s="4"/>
      <c r="M480" s="4"/>
    </row>
    <row r="481" spans="10:13" x14ac:dyDescent="0.3">
      <c r="J481" s="4"/>
      <c r="M481" s="4"/>
    </row>
    <row r="482" spans="10:13" x14ac:dyDescent="0.3">
      <c r="J482" s="4"/>
      <c r="M482" s="4"/>
    </row>
    <row r="483" spans="10:13" x14ac:dyDescent="0.3">
      <c r="J483" s="4"/>
      <c r="M483" s="4"/>
    </row>
    <row r="484" spans="10:13" x14ac:dyDescent="0.3">
      <c r="J484" s="4"/>
      <c r="M484" s="4"/>
    </row>
    <row r="485" spans="10:13" x14ac:dyDescent="0.3">
      <c r="J485" s="4"/>
      <c r="M485" s="4"/>
    </row>
    <row r="486" spans="10:13" x14ac:dyDescent="0.3">
      <c r="J486" s="4"/>
      <c r="M486" s="4"/>
    </row>
    <row r="487" spans="10:13" x14ac:dyDescent="0.3">
      <c r="J487" s="4"/>
      <c r="M487" s="4"/>
    </row>
    <row r="488" spans="10:13" x14ac:dyDescent="0.3">
      <c r="J488" s="4"/>
      <c r="M488" s="4"/>
    </row>
    <row r="489" spans="10:13" x14ac:dyDescent="0.3">
      <c r="J489" s="4"/>
      <c r="M489" s="4"/>
    </row>
    <row r="490" spans="10:13" x14ac:dyDescent="0.3">
      <c r="J490" s="4"/>
      <c r="M490" s="4"/>
    </row>
    <row r="491" spans="10:13" x14ac:dyDescent="0.3">
      <c r="J491" s="4"/>
      <c r="M491" s="4"/>
    </row>
    <row r="492" spans="10:13" x14ac:dyDescent="0.3">
      <c r="J492" s="4"/>
      <c r="M492" s="4"/>
    </row>
    <row r="493" spans="10:13" x14ac:dyDescent="0.3">
      <c r="J493" s="4"/>
      <c r="M493" s="4"/>
    </row>
    <row r="494" spans="10:13" x14ac:dyDescent="0.3">
      <c r="J494" s="4"/>
      <c r="M494" s="4"/>
    </row>
    <row r="495" spans="10:13" x14ac:dyDescent="0.3">
      <c r="J495" s="4"/>
      <c r="M495" s="4"/>
    </row>
    <row r="496" spans="10:13" x14ac:dyDescent="0.3">
      <c r="J496" s="4"/>
      <c r="M496" s="4"/>
    </row>
    <row r="497" spans="10:13" x14ac:dyDescent="0.3">
      <c r="J497" s="4"/>
      <c r="M497" s="4"/>
    </row>
    <row r="498" spans="10:13" x14ac:dyDescent="0.3">
      <c r="J498" s="4"/>
      <c r="M498" s="4"/>
    </row>
    <row r="499" spans="10:13" x14ac:dyDescent="0.3">
      <c r="J499" s="4"/>
      <c r="M499" s="4"/>
    </row>
    <row r="500" spans="10:13" x14ac:dyDescent="0.3">
      <c r="J500" s="4"/>
      <c r="M500" s="4"/>
    </row>
    <row r="501" spans="10:13" x14ac:dyDescent="0.3">
      <c r="J501" s="4"/>
      <c r="M501" s="4"/>
    </row>
    <row r="502" spans="10:13" x14ac:dyDescent="0.3">
      <c r="J502" s="4"/>
      <c r="M502" s="4"/>
    </row>
    <row r="503" spans="10:13" x14ac:dyDescent="0.3">
      <c r="J503" s="4"/>
      <c r="M503" s="4"/>
    </row>
    <row r="504" spans="10:13" x14ac:dyDescent="0.3">
      <c r="J504" s="4"/>
      <c r="M504" s="4"/>
    </row>
    <row r="505" spans="10:13" x14ac:dyDescent="0.3">
      <c r="J505" s="4"/>
      <c r="M505" s="4"/>
    </row>
    <row r="506" spans="10:13" x14ac:dyDescent="0.3">
      <c r="J506" s="4"/>
      <c r="M506" s="4"/>
    </row>
    <row r="507" spans="10:13" x14ac:dyDescent="0.3">
      <c r="J507" s="4"/>
      <c r="M507" s="4"/>
    </row>
    <row r="508" spans="10:13" x14ac:dyDescent="0.3">
      <c r="J508" s="4"/>
      <c r="M508" s="4"/>
    </row>
    <row r="509" spans="10:13" x14ac:dyDescent="0.3">
      <c r="J509" s="4"/>
      <c r="M509" s="4"/>
    </row>
    <row r="510" spans="10:13" x14ac:dyDescent="0.3">
      <c r="J510" s="4"/>
      <c r="M510" s="4"/>
    </row>
    <row r="511" spans="10:13" x14ac:dyDescent="0.3">
      <c r="J511" s="4"/>
      <c r="M511" s="4"/>
    </row>
    <row r="512" spans="10:13" x14ac:dyDescent="0.3">
      <c r="J512" s="4"/>
      <c r="M512" s="4"/>
    </row>
    <row r="513" spans="10:13" x14ac:dyDescent="0.3">
      <c r="J513" s="4"/>
      <c r="M513" s="4"/>
    </row>
    <row r="514" spans="10:13" x14ac:dyDescent="0.3">
      <c r="J514" s="4"/>
      <c r="M514" s="4"/>
    </row>
    <row r="515" spans="10:13" x14ac:dyDescent="0.3">
      <c r="J515" s="4"/>
      <c r="M515" s="4"/>
    </row>
    <row r="516" spans="10:13" x14ac:dyDescent="0.3">
      <c r="J516" s="4"/>
      <c r="M516" s="4"/>
    </row>
    <row r="517" spans="10:13" x14ac:dyDescent="0.3">
      <c r="J517" s="4"/>
      <c r="M517" s="4"/>
    </row>
    <row r="518" spans="10:13" x14ac:dyDescent="0.3">
      <c r="J518" s="4"/>
      <c r="M518" s="4"/>
    </row>
    <row r="519" spans="10:13" x14ac:dyDescent="0.3">
      <c r="J519" s="4"/>
      <c r="M519" s="4"/>
    </row>
    <row r="520" spans="10:13" x14ac:dyDescent="0.3">
      <c r="J520" s="4"/>
      <c r="M520" s="4"/>
    </row>
    <row r="521" spans="10:13" x14ac:dyDescent="0.3">
      <c r="J521" s="4"/>
      <c r="M521" s="4"/>
    </row>
    <row r="522" spans="10:13" x14ac:dyDescent="0.3">
      <c r="J522" s="4"/>
      <c r="M522" s="4"/>
    </row>
    <row r="523" spans="10:13" x14ac:dyDescent="0.3">
      <c r="J523" s="4"/>
      <c r="M523" s="4"/>
    </row>
    <row r="524" spans="10:13" x14ac:dyDescent="0.3">
      <c r="J524" s="4"/>
      <c r="M524" s="4"/>
    </row>
    <row r="525" spans="10:13" x14ac:dyDescent="0.3">
      <c r="J525" s="4"/>
      <c r="M525" s="4"/>
    </row>
    <row r="526" spans="10:13" x14ac:dyDescent="0.3">
      <c r="J526" s="4"/>
      <c r="M526" s="4"/>
    </row>
    <row r="527" spans="10:13" x14ac:dyDescent="0.3">
      <c r="J527" s="4"/>
      <c r="M527" s="4"/>
    </row>
    <row r="528" spans="10:13" x14ac:dyDescent="0.3">
      <c r="J528" s="4"/>
      <c r="M528" s="4"/>
    </row>
    <row r="529" spans="10:13" x14ac:dyDescent="0.3">
      <c r="J529" s="4"/>
      <c r="M529" s="4"/>
    </row>
    <row r="530" spans="10:13" x14ac:dyDescent="0.3">
      <c r="J530" s="4"/>
      <c r="M530" s="4"/>
    </row>
    <row r="531" spans="10:13" x14ac:dyDescent="0.3">
      <c r="J531" s="4"/>
      <c r="M531" s="4"/>
    </row>
    <row r="532" spans="10:13" x14ac:dyDescent="0.3">
      <c r="J532" s="4"/>
      <c r="M532" s="4"/>
    </row>
    <row r="533" spans="10:13" x14ac:dyDescent="0.3">
      <c r="J533" s="4"/>
      <c r="M533" s="4"/>
    </row>
    <row r="534" spans="10:13" x14ac:dyDescent="0.3">
      <c r="J534" s="4"/>
      <c r="M534" s="4"/>
    </row>
    <row r="535" spans="10:13" x14ac:dyDescent="0.3">
      <c r="J535" s="4"/>
      <c r="M535" s="4"/>
    </row>
    <row r="536" spans="10:13" x14ac:dyDescent="0.3">
      <c r="J536" s="4"/>
      <c r="M536" s="4"/>
    </row>
    <row r="537" spans="10:13" x14ac:dyDescent="0.3">
      <c r="J537" s="4"/>
      <c r="M537" s="4"/>
    </row>
    <row r="538" spans="10:13" x14ac:dyDescent="0.3">
      <c r="J538" s="4"/>
      <c r="M538" s="4"/>
    </row>
    <row r="539" spans="10:13" x14ac:dyDescent="0.3">
      <c r="J539" s="4"/>
      <c r="M539" s="4"/>
    </row>
    <row r="540" spans="10:13" x14ac:dyDescent="0.3">
      <c r="J540" s="4"/>
      <c r="M540" s="4"/>
    </row>
    <row r="541" spans="10:13" x14ac:dyDescent="0.3">
      <c r="J541" s="4"/>
      <c r="M541" s="4"/>
    </row>
    <row r="542" spans="10:13" x14ac:dyDescent="0.3">
      <c r="J542" s="4"/>
      <c r="M542" s="4"/>
    </row>
    <row r="543" spans="10:13" x14ac:dyDescent="0.3">
      <c r="J543" s="4"/>
      <c r="M543" s="4"/>
    </row>
    <row r="544" spans="10:13" x14ac:dyDescent="0.3">
      <c r="J544" s="4"/>
      <c r="M544" s="4"/>
    </row>
    <row r="545" spans="10:13" x14ac:dyDescent="0.3">
      <c r="J545" s="4"/>
      <c r="M545" s="4"/>
    </row>
    <row r="546" spans="10:13" x14ac:dyDescent="0.3">
      <c r="J546" s="4"/>
      <c r="M546" s="4"/>
    </row>
    <row r="547" spans="10:13" x14ac:dyDescent="0.3">
      <c r="J547" s="4"/>
      <c r="M547" s="4"/>
    </row>
    <row r="548" spans="10:13" x14ac:dyDescent="0.3">
      <c r="J548" s="4"/>
      <c r="M548" s="4"/>
    </row>
    <row r="549" spans="10:13" x14ac:dyDescent="0.3">
      <c r="J549" s="4"/>
      <c r="M549" s="4"/>
    </row>
    <row r="550" spans="10:13" x14ac:dyDescent="0.3">
      <c r="J550" s="4"/>
      <c r="M550" s="4"/>
    </row>
    <row r="551" spans="10:13" x14ac:dyDescent="0.3">
      <c r="J551" s="4"/>
      <c r="M551" s="4"/>
    </row>
    <row r="552" spans="10:13" x14ac:dyDescent="0.3">
      <c r="J552" s="4"/>
      <c r="M552" s="4"/>
    </row>
    <row r="553" spans="10:13" x14ac:dyDescent="0.3">
      <c r="J553" s="4"/>
      <c r="M553" s="4"/>
    </row>
    <row r="554" spans="10:13" x14ac:dyDescent="0.3">
      <c r="J554" s="4"/>
      <c r="M554" s="4"/>
    </row>
    <row r="555" spans="10:13" x14ac:dyDescent="0.3">
      <c r="J555" s="4"/>
      <c r="M555" s="4"/>
    </row>
    <row r="556" spans="10:13" x14ac:dyDescent="0.3">
      <c r="J556" s="4"/>
      <c r="M556" s="4"/>
    </row>
    <row r="557" spans="10:13" x14ac:dyDescent="0.3">
      <c r="J557" s="4"/>
      <c r="M557" s="4"/>
    </row>
    <row r="558" spans="10:13" x14ac:dyDescent="0.3">
      <c r="J558" s="4"/>
      <c r="M558" s="4"/>
    </row>
    <row r="559" spans="10:13" x14ac:dyDescent="0.3">
      <c r="J559" s="4"/>
      <c r="M559" s="4"/>
    </row>
    <row r="560" spans="10:13" x14ac:dyDescent="0.3">
      <c r="J560" s="4"/>
      <c r="M560" s="4"/>
    </row>
    <row r="561" spans="10:13" x14ac:dyDescent="0.3">
      <c r="J561" s="4"/>
      <c r="M561" s="4"/>
    </row>
    <row r="562" spans="10:13" x14ac:dyDescent="0.3">
      <c r="J562" s="4"/>
      <c r="M562" s="4"/>
    </row>
    <row r="563" spans="10:13" x14ac:dyDescent="0.3">
      <c r="J563" s="4"/>
      <c r="M563" s="4"/>
    </row>
    <row r="564" spans="10:13" x14ac:dyDescent="0.3">
      <c r="J564" s="4"/>
      <c r="M564" s="4"/>
    </row>
    <row r="565" spans="10:13" x14ac:dyDescent="0.3">
      <c r="J565" s="4"/>
      <c r="M565" s="4"/>
    </row>
    <row r="566" spans="10:13" x14ac:dyDescent="0.3">
      <c r="J566" s="4"/>
      <c r="M566" s="4"/>
    </row>
    <row r="567" spans="10:13" x14ac:dyDescent="0.3">
      <c r="J567" s="4"/>
      <c r="M567" s="4"/>
    </row>
    <row r="568" spans="10:13" x14ac:dyDescent="0.3">
      <c r="J568" s="4"/>
      <c r="M568" s="4"/>
    </row>
    <row r="569" spans="10:13" x14ac:dyDescent="0.3">
      <c r="J569" s="4"/>
      <c r="M569" s="4"/>
    </row>
    <row r="570" spans="10:13" x14ac:dyDescent="0.3">
      <c r="J570" s="4"/>
      <c r="M570" s="4"/>
    </row>
    <row r="571" spans="10:13" x14ac:dyDescent="0.3">
      <c r="J571" s="4"/>
      <c r="M571" s="4"/>
    </row>
    <row r="572" spans="10:13" x14ac:dyDescent="0.3">
      <c r="J572" s="4"/>
      <c r="M572" s="4"/>
    </row>
    <row r="573" spans="10:13" x14ac:dyDescent="0.3">
      <c r="J573" s="4"/>
      <c r="M573" s="4"/>
    </row>
    <row r="574" spans="10:13" x14ac:dyDescent="0.3">
      <c r="J574" s="4"/>
      <c r="M574" s="4"/>
    </row>
    <row r="575" spans="10:13" x14ac:dyDescent="0.3">
      <c r="J575" s="4"/>
      <c r="M575" s="4"/>
    </row>
    <row r="576" spans="10:13" x14ac:dyDescent="0.3">
      <c r="J576" s="4"/>
      <c r="M576" s="4"/>
    </row>
    <row r="577" spans="10:13" x14ac:dyDescent="0.3">
      <c r="J577" s="4"/>
      <c r="M577" s="4"/>
    </row>
    <row r="578" spans="10:13" x14ac:dyDescent="0.3">
      <c r="J578" s="4"/>
      <c r="M578" s="4"/>
    </row>
    <row r="579" spans="10:13" x14ac:dyDescent="0.3">
      <c r="J579" s="4"/>
      <c r="M579" s="4"/>
    </row>
    <row r="580" spans="10:13" x14ac:dyDescent="0.3">
      <c r="J580" s="4"/>
      <c r="M580" s="4"/>
    </row>
    <row r="581" spans="10:13" x14ac:dyDescent="0.3">
      <c r="J581" s="4"/>
      <c r="M581" s="4"/>
    </row>
    <row r="582" spans="10:13" x14ac:dyDescent="0.3">
      <c r="J582" s="4"/>
      <c r="M582" s="4"/>
    </row>
    <row r="583" spans="10:13" x14ac:dyDescent="0.3">
      <c r="J583" s="4"/>
      <c r="M583" s="4"/>
    </row>
    <row r="584" spans="10:13" x14ac:dyDescent="0.3">
      <c r="J584" s="4"/>
      <c r="M584" s="4"/>
    </row>
    <row r="585" spans="10:13" x14ac:dyDescent="0.3">
      <c r="J585" s="4"/>
      <c r="M585" s="4"/>
    </row>
    <row r="586" spans="10:13" x14ac:dyDescent="0.3">
      <c r="J586" s="4"/>
      <c r="M586" s="4"/>
    </row>
    <row r="587" spans="10:13" x14ac:dyDescent="0.3">
      <c r="J587" s="4"/>
      <c r="M587" s="4"/>
    </row>
    <row r="588" spans="10:13" x14ac:dyDescent="0.3">
      <c r="J588" s="4"/>
      <c r="M588" s="4"/>
    </row>
    <row r="589" spans="10:13" x14ac:dyDescent="0.3">
      <c r="J589" s="4"/>
      <c r="M589" s="4"/>
    </row>
    <row r="590" spans="10:13" x14ac:dyDescent="0.3">
      <c r="J590" s="4"/>
      <c r="M590" s="4"/>
    </row>
    <row r="591" spans="10:13" x14ac:dyDescent="0.3">
      <c r="J591" s="4"/>
      <c r="M591" s="4"/>
    </row>
    <row r="592" spans="10:13" x14ac:dyDescent="0.3">
      <c r="J592" s="4"/>
      <c r="M592" s="4"/>
    </row>
    <row r="593" spans="10:13" x14ac:dyDescent="0.3">
      <c r="J593" s="4"/>
      <c r="M593" s="4"/>
    </row>
    <row r="594" spans="10:13" x14ac:dyDescent="0.3">
      <c r="J594" s="4"/>
      <c r="M594" s="4"/>
    </row>
    <row r="595" spans="10:13" x14ac:dyDescent="0.3">
      <c r="J595" s="4"/>
      <c r="M595" s="4"/>
    </row>
    <row r="596" spans="10:13" x14ac:dyDescent="0.3">
      <c r="J596" s="4"/>
      <c r="M596" s="4"/>
    </row>
    <row r="597" spans="10:13" x14ac:dyDescent="0.3">
      <c r="J597" s="4"/>
      <c r="M597" s="4"/>
    </row>
    <row r="598" spans="10:13" x14ac:dyDescent="0.3">
      <c r="J598" s="4"/>
      <c r="M598" s="4"/>
    </row>
    <row r="599" spans="10:13" x14ac:dyDescent="0.3">
      <c r="J599" s="4"/>
      <c r="M599" s="4"/>
    </row>
    <row r="600" spans="10:13" x14ac:dyDescent="0.3">
      <c r="J600" s="4"/>
      <c r="M600" s="4"/>
    </row>
    <row r="601" spans="10:13" x14ac:dyDescent="0.3">
      <c r="J601" s="4"/>
      <c r="M601" s="4"/>
    </row>
    <row r="602" spans="10:13" x14ac:dyDescent="0.3">
      <c r="J602" s="4"/>
      <c r="M602" s="4"/>
    </row>
    <row r="603" spans="10:13" x14ac:dyDescent="0.3">
      <c r="J603" s="4"/>
      <c r="M603" s="4"/>
    </row>
    <row r="604" spans="10:13" x14ac:dyDescent="0.3">
      <c r="J604" s="4"/>
      <c r="M60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</vt:lpstr>
      <vt:lpstr>CompsInputs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2026-02-24T21:53:30Z</dcterms:modified>
</cp:coreProperties>
</file>