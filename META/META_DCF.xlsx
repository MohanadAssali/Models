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AAEABA1-9EDC-486E-91FA-A3616983FCA7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DCF" sheetId="7" r:id="rId1"/>
    <sheet name="WAAC" sheetId="3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6" i="7" l="1"/>
  <c r="R42" i="7" l="1"/>
  <c r="Q42" i="7" s="1"/>
  <c r="P42" i="7" s="1"/>
  <c r="S42" i="7" l="1"/>
  <c r="T42" i="7" s="1"/>
  <c r="O45" i="7" l="1"/>
  <c r="O44" i="7" s="1"/>
  <c r="O43" i="7" s="1"/>
  <c r="O47" i="7"/>
  <c r="O48" i="7" s="1"/>
  <c r="O49" i="7" s="1"/>
  <c r="O42" i="7" l="1"/>
</calcChain>
</file>

<file path=xl/sharedStrings.xml><?xml version="1.0" encoding="utf-8"?>
<sst xmlns="http://schemas.openxmlformats.org/spreadsheetml/2006/main" count="72" uniqueCount="59">
  <si>
    <t>MC</t>
  </si>
  <si>
    <t>Cash</t>
  </si>
  <si>
    <t>Debt</t>
  </si>
  <si>
    <t>FY2026</t>
  </si>
  <si>
    <t>EBITDA</t>
  </si>
  <si>
    <t>FY2027</t>
  </si>
  <si>
    <t>FY2028</t>
  </si>
  <si>
    <t>D&amp;A</t>
  </si>
  <si>
    <t>DCF Model</t>
  </si>
  <si>
    <t>WAAC</t>
  </si>
  <si>
    <t>Discount Factor</t>
  </si>
  <si>
    <t>Equity Value</t>
  </si>
  <si>
    <t>-</t>
  </si>
  <si>
    <t>+</t>
  </si>
  <si>
    <t>WAAC Calculation</t>
  </si>
  <si>
    <t>Cost of Equity</t>
  </si>
  <si>
    <t>Beta</t>
  </si>
  <si>
    <t>Cost of Debt</t>
  </si>
  <si>
    <t>Tax Rate</t>
  </si>
  <si>
    <t>FY2029</t>
  </si>
  <si>
    <t>FY2030</t>
  </si>
  <si>
    <t>DCF</t>
  </si>
  <si>
    <t xml:space="preserve"> $millions</t>
  </si>
  <si>
    <t>5-year FCF Model</t>
  </si>
  <si>
    <t xml:space="preserve">EBIT </t>
  </si>
  <si>
    <t>Shares Outstanding</t>
  </si>
  <si>
    <t>Total Capital</t>
  </si>
  <si>
    <t>%Equity</t>
  </si>
  <si>
    <t>%Debt</t>
  </si>
  <si>
    <t>Risk Free Rate (EFP)</t>
  </si>
  <si>
    <t>Equity Risk Premium (ERP)</t>
  </si>
  <si>
    <t>(Damodaran/JPM)</t>
  </si>
  <si>
    <t xml:space="preserve">‎ </t>
  </si>
  <si>
    <t>UFCF</t>
  </si>
  <si>
    <t>CapEx</t>
  </si>
  <si>
    <t>PV of UFCFs</t>
  </si>
  <si>
    <t xml:space="preserve">Discount rate (r) </t>
  </si>
  <si>
    <t>Stage 1: Sum of present values</t>
  </si>
  <si>
    <t>Terminal value - EBITDA multiple approach</t>
  </si>
  <si>
    <t>Terminal value in 2030</t>
  </si>
  <si>
    <t>2030 FCF x (1+g)</t>
  </si>
  <si>
    <t>Stage 2: PV of TV</t>
  </si>
  <si>
    <t>EBITDA multiple</t>
  </si>
  <si>
    <t>Enterprise Value (Stage 1+2)</t>
  </si>
  <si>
    <t>Change in NWC</t>
  </si>
  <si>
    <t>EBIT x (1-t)</t>
  </si>
  <si>
    <t>Yield to Maturity</t>
  </si>
  <si>
    <t>The average yield for Meta's 2029-2031 bonds</t>
  </si>
  <si>
    <t>Discount Period</t>
  </si>
  <si>
    <t>FY2025A</t>
  </si>
  <si>
    <t>Long term growth rate (g)</t>
  </si>
  <si>
    <t>Terminal value - growth in perpetuity approach</t>
  </si>
  <si>
    <t>Implied Share price</t>
  </si>
  <si>
    <t>Enterprise Value</t>
  </si>
  <si>
    <t>/</t>
  </si>
  <si>
    <t>Intrinsic Share price</t>
  </si>
  <si>
    <t>https://www.investing.com/pro/NASDAQGS:META/explorer/ev_to_ebitda_ltm</t>
  </si>
  <si>
    <t>EBITDAx</t>
  </si>
  <si>
    <t>Sensitivity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</si>
</sst>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\x_);\(0.0\x\);@_)"/>
    <numFmt numFmtId="182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9" fontId="0" fillId="0" borderId="0" xfId="0" applyNumberFormat="1"/>
    <xf numFmtId="4" fontId="1" fillId="0" borderId="0" xfId="0" applyNumberFormat="1" applyFont="1"/>
    <xf numFmtId="0" fontId="0" fillId="4" borderId="0" xfId="0" applyFill="1"/>
    <xf numFmtId="0" fontId="5" fillId="0" borderId="0" xfId="1"/>
    <xf numFmtId="0" fontId="0" fillId="0" borderId="6" xfId="0" applyBorder="1"/>
    <xf numFmtId="3" fontId="0" fillId="4" borderId="7" xfId="0" applyNumberFormat="1" applyFill="1" applyBorder="1"/>
    <xf numFmtId="0" fontId="0" fillId="5" borderId="0" xfId="0" applyFill="1"/>
    <xf numFmtId="0" fontId="0" fillId="4" borderId="7" xfId="0" applyFill="1" applyBorder="1"/>
    <xf numFmtId="0" fontId="0" fillId="0" borderId="8" xfId="0" applyBorder="1"/>
    <xf numFmtId="3" fontId="0" fillId="0" borderId="7" xfId="0" applyNumberFormat="1" applyBorder="1"/>
    <xf numFmtId="0" fontId="0" fillId="0" borderId="7" xfId="0" applyBorder="1"/>
    <xf numFmtId="10" fontId="1" fillId="0" borderId="0" xfId="0" applyNumberFormat="1" applyFont="1"/>
    <xf numFmtId="0" fontId="3" fillId="0" borderId="1" xfId="0" applyFont="1" applyBorder="1"/>
    <xf numFmtId="0" fontId="0" fillId="4" borderId="9" xfId="0" applyFill="1" applyBorder="1"/>
    <xf numFmtId="0" fontId="0" fillId="0" borderId="10" xfId="0" applyBorder="1"/>
    <xf numFmtId="10" fontId="0" fillId="4" borderId="0" xfId="0" applyNumberFormat="1" applyFill="1"/>
    <xf numFmtId="0" fontId="0" fillId="0" borderId="11" xfId="0" applyBorder="1"/>
    <xf numFmtId="0" fontId="0" fillId="4" borderId="12" xfId="0" applyFill="1" applyBorder="1"/>
    <xf numFmtId="10" fontId="0" fillId="4" borderId="7" xfId="0" applyNumberFormat="1" applyFill="1" applyBorder="1"/>
    <xf numFmtId="3" fontId="0" fillId="3" borderId="7" xfId="0" applyNumberFormat="1" applyFill="1" applyBorder="1"/>
    <xf numFmtId="0" fontId="0" fillId="3" borderId="0" xfId="0" applyFill="1"/>
    <xf numFmtId="4" fontId="0" fillId="3" borderId="7" xfId="0" applyNumberFormat="1" applyFill="1" applyBorder="1"/>
    <xf numFmtId="167" fontId="0" fillId="0" borderId="0" xfId="0" applyNumberFormat="1"/>
    <xf numFmtId="10" fontId="0" fillId="5" borderId="0" xfId="0" applyNumberFormat="1" applyFill="1"/>
    <xf numFmtId="3" fontId="0" fillId="4" borderId="0" xfId="0" applyNumberFormat="1" applyFill="1"/>
    <xf numFmtId="0" fontId="0" fillId="4" borderId="1" xfId="0" applyFill="1" applyBorder="1"/>
    <xf numFmtId="2" fontId="0" fillId="5" borderId="10" xfId="0" applyNumberFormat="1" applyFill="1" applyBorder="1"/>
    <xf numFmtId="2" fontId="0" fillId="0" borderId="10" xfId="0" applyNumberFormat="1" applyBorder="1"/>
    <xf numFmtId="2" fontId="1" fillId="0" borderId="10" xfId="0" applyNumberFormat="1" applyFont="1" applyBorder="1"/>
    <xf numFmtId="2" fontId="0" fillId="4" borderId="9" xfId="0" applyNumberFormat="1" applyFill="1" applyBorder="1"/>
    <xf numFmtId="182" fontId="0" fillId="0" borderId="0" xfId="0" applyNumberFormat="1"/>
    <xf numFmtId="182" fontId="0" fillId="0" borderId="7" xfId="0" applyNumberFormat="1" applyBorder="1"/>
    <xf numFmtId="182" fontId="0" fillId="4" borderId="7" xfId="0" applyNumberFormat="1" applyFill="1" applyBorder="1"/>
    <xf numFmtId="0" fontId="8" fillId="0" borderId="1" xfId="0" applyFont="1" applyBorder="1"/>
    <xf numFmtId="182" fontId="6" fillId="0" borderId="0" xfId="0" applyNumberFormat="1" applyFont="1"/>
    <xf numFmtId="0" fontId="7" fillId="5" borderId="1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 textRotation="90"/>
    </xf>
    <xf numFmtId="0" fontId="7" fillId="5" borderId="14" xfId="0" applyFont="1" applyFill="1" applyBorder="1" applyAlignment="1">
      <alignment horizontal="center" vertical="center" textRotation="90"/>
    </xf>
    <xf numFmtId="0" fontId="7" fillId="5" borderId="3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87841</xdr:colOff>
      <xdr:row>0</xdr:row>
      <xdr:rowOff>0</xdr:rowOff>
    </xdr:from>
    <xdr:to>
      <xdr:col>13</xdr:col>
      <xdr:colOff>555101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17BDD-C21B-4D8D-850D-F711C2089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176" y="0"/>
          <a:ext cx="1073050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70484</xdr:colOff>
      <xdr:row>0</xdr:row>
      <xdr:rowOff>0</xdr:rowOff>
    </xdr:from>
    <xdr:to>
      <xdr:col>9</xdr:col>
      <xdr:colOff>549174</xdr:colOff>
      <xdr:row>5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18F12-BC45-4C1C-ADA2-504EFE880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4959" y="0"/>
          <a:ext cx="1080670" cy="1070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vesting.com/pro/NASDAQGS:META/explorer/ev_to_ebitda_l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015F-523C-4AE1-9881-9ACDAAEADBE7}">
  <dimension ref="A1:AO205"/>
  <sheetViews>
    <sheetView tabSelected="1" workbookViewId="0">
      <selection activeCell="T27" sqref="T27"/>
    </sheetView>
  </sheetViews>
  <sheetFormatPr defaultRowHeight="14.4" x14ac:dyDescent="0.3"/>
  <cols>
    <col min="3" max="3" width="27.44140625" customWidth="1"/>
    <col min="4" max="4" width="10.109375" customWidth="1"/>
    <col min="5" max="6" width="10.109375" bestFit="1" customWidth="1"/>
    <col min="7" max="9" width="10.109375" customWidth="1"/>
    <col min="10" max="10" width="7.77734375" customWidth="1"/>
    <col min="11" max="11" width="1.5546875" customWidth="1"/>
    <col min="12" max="12" width="1" customWidth="1"/>
  </cols>
  <sheetData>
    <row r="1" spans="1:4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x14ac:dyDescent="0.3">
      <c r="A2" s="9" t="s">
        <v>21</v>
      </c>
      <c r="B2" s="5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5"/>
      <c r="B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14"/>
      <c r="B4" s="5"/>
      <c r="E4" s="14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5"/>
      <c r="B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">
      <c r="A6" s="5"/>
      <c r="B6" s="5"/>
      <c r="E6" s="13"/>
      <c r="G6" s="13"/>
      <c r="H6" s="13"/>
      <c r="J6" s="13"/>
      <c r="K6" s="6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8" t="s">
        <v>8</v>
      </c>
      <c r="B7" s="7"/>
      <c r="C7" s="7"/>
      <c r="D7" s="7"/>
      <c r="E7" s="7"/>
      <c r="F7" s="7"/>
      <c r="G7" s="7"/>
      <c r="H7" s="7"/>
      <c r="I7" s="7"/>
      <c r="J7" s="7"/>
      <c r="K7" s="6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">
      <c r="A8" s="5"/>
      <c r="B8" s="5"/>
      <c r="K8" s="6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t="s">
        <v>22</v>
      </c>
      <c r="B9" s="5"/>
      <c r="C9" s="21" t="s">
        <v>23</v>
      </c>
      <c r="D9" s="21"/>
      <c r="E9" s="21"/>
      <c r="F9" s="21"/>
      <c r="G9" s="21"/>
      <c r="H9" s="21"/>
      <c r="I9" s="21"/>
      <c r="K9" s="6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">
      <c r="A10" s="5"/>
      <c r="B10" s="5"/>
      <c r="D10" t="s">
        <v>49</v>
      </c>
      <c r="E10" s="25" t="s">
        <v>3</v>
      </c>
      <c r="F10" s="25" t="s">
        <v>5</v>
      </c>
      <c r="G10" s="25" t="s">
        <v>6</v>
      </c>
      <c r="H10" s="25" t="s">
        <v>19</v>
      </c>
      <c r="I10" s="25" t="s">
        <v>20</v>
      </c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B11" s="5"/>
      <c r="C11" t="s">
        <v>4</v>
      </c>
      <c r="D11" s="24">
        <v>101891</v>
      </c>
      <c r="E11" s="24">
        <v>98416.140000000014</v>
      </c>
      <c r="F11" s="24">
        <v>114550.568</v>
      </c>
      <c r="G11" s="24">
        <v>133868.28159999999</v>
      </c>
      <c r="H11" s="24">
        <v>157005.93791999997</v>
      </c>
      <c r="I11" s="24">
        <v>184727.52550399996</v>
      </c>
      <c r="K11" s="6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">
      <c r="A12" s="5"/>
      <c r="B12" s="5"/>
      <c r="C12" t="s">
        <v>24</v>
      </c>
      <c r="D12" s="1">
        <v>83275</v>
      </c>
      <c r="E12" s="20">
        <v>79582.140000000014</v>
      </c>
      <c r="F12" s="20">
        <v>95498.567999999999</v>
      </c>
      <c r="G12" s="20">
        <v>114598.28159999999</v>
      </c>
      <c r="H12" s="20">
        <v>137517.93791999997</v>
      </c>
      <c r="I12" s="20">
        <v>165021.52550399996</v>
      </c>
      <c r="J12" s="31"/>
      <c r="K12" s="19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5"/>
      <c r="B13" s="5"/>
      <c r="C13" t="s">
        <v>18</v>
      </c>
      <c r="D13" s="15">
        <v>0.15</v>
      </c>
      <c r="E13" s="15">
        <v>0.15</v>
      </c>
      <c r="F13" s="15">
        <v>0.15</v>
      </c>
      <c r="G13" s="15">
        <v>0.15</v>
      </c>
      <c r="H13" s="15">
        <v>0.15</v>
      </c>
      <c r="I13" s="15">
        <v>0.15</v>
      </c>
      <c r="J13" s="31"/>
      <c r="K13" s="19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">
      <c r="A14" s="5"/>
      <c r="B14" s="5"/>
      <c r="C14" t="s">
        <v>9</v>
      </c>
      <c r="D14" s="3">
        <v>9.0768490916662281E-2</v>
      </c>
      <c r="E14" s="15"/>
      <c r="F14" s="15"/>
      <c r="G14" s="15"/>
      <c r="H14" s="15"/>
      <c r="I14" s="15"/>
      <c r="J14" s="31"/>
      <c r="K14" s="19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5"/>
      <c r="B15" s="5"/>
      <c r="E15" s="20"/>
      <c r="F15" s="20"/>
      <c r="G15" s="20"/>
      <c r="H15" s="20"/>
      <c r="I15" s="20"/>
      <c r="J15" s="31"/>
      <c r="K15" s="19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5"/>
      <c r="B16" s="5"/>
      <c r="C16" t="s">
        <v>45</v>
      </c>
      <c r="D16" s="20">
        <v>70783.75</v>
      </c>
      <c r="E16" s="20">
        <v>67644.819000000003</v>
      </c>
      <c r="F16" s="20">
        <v>81173.782800000001</v>
      </c>
      <c r="G16" s="20">
        <v>97408.539359999981</v>
      </c>
      <c r="H16" s="20">
        <v>116890.24723199997</v>
      </c>
      <c r="I16" s="20">
        <v>140268.29667839996</v>
      </c>
      <c r="J16" s="31"/>
      <c r="K16" s="19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5"/>
      <c r="B17" s="5" t="s">
        <v>13</v>
      </c>
      <c r="C17" t="s">
        <v>7</v>
      </c>
      <c r="D17" s="1">
        <v>18616</v>
      </c>
      <c r="E17" s="20">
        <v>18834</v>
      </c>
      <c r="F17" s="20">
        <v>19052</v>
      </c>
      <c r="G17" s="20">
        <v>19270</v>
      </c>
      <c r="H17" s="20">
        <v>19488</v>
      </c>
      <c r="I17" s="20">
        <v>19706</v>
      </c>
      <c r="J17" s="31"/>
      <c r="K17" s="19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5"/>
      <c r="B18" s="5" t="s">
        <v>12</v>
      </c>
      <c r="C18" t="s">
        <v>44</v>
      </c>
      <c r="D18" s="1">
        <v>-885</v>
      </c>
      <c r="E18" s="20">
        <v>-2009.6500000000015</v>
      </c>
      <c r="F18" s="20">
        <v>-2411.5799999999981</v>
      </c>
      <c r="G18" s="20">
        <v>-2893.8960000000006</v>
      </c>
      <c r="H18" s="20">
        <v>-3472.6751999999979</v>
      </c>
      <c r="I18" s="20">
        <v>-4167.2102399999967</v>
      </c>
      <c r="J18" s="31"/>
      <c r="K18" s="19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5"/>
      <c r="B19" s="5" t="s">
        <v>12</v>
      </c>
      <c r="C19" t="s">
        <v>34</v>
      </c>
      <c r="D19" s="1">
        <v>72000</v>
      </c>
      <c r="E19" s="20">
        <v>120000</v>
      </c>
      <c r="F19" s="20">
        <v>120000</v>
      </c>
      <c r="G19" s="20">
        <v>120000</v>
      </c>
      <c r="H19" s="20">
        <v>100000</v>
      </c>
      <c r="I19" s="20">
        <v>100000</v>
      </c>
      <c r="J19" s="31"/>
      <c r="K19" s="19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5"/>
      <c r="B20" s="5"/>
      <c r="C20" t="s">
        <v>33</v>
      </c>
      <c r="D20" s="20">
        <v>18284.75</v>
      </c>
      <c r="E20" s="20">
        <v>-31511.530999999988</v>
      </c>
      <c r="F20" s="20">
        <v>-17362.637199999997</v>
      </c>
      <c r="G20" s="20">
        <v>-427.56464000002597</v>
      </c>
      <c r="H20" s="20">
        <v>39850.922431999963</v>
      </c>
      <c r="I20" s="20">
        <v>64141.506918399944</v>
      </c>
      <c r="J20" s="31"/>
      <c r="K20" s="19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5"/>
      <c r="B21" s="5"/>
      <c r="E21" s="20"/>
      <c r="F21" s="20"/>
      <c r="G21" s="20"/>
      <c r="H21" s="20"/>
      <c r="I21" s="20"/>
      <c r="J21" s="31"/>
      <c r="K21" s="19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5"/>
      <c r="B22" s="5"/>
      <c r="C22" t="s">
        <v>36</v>
      </c>
      <c r="D22" s="33">
        <v>9.0768490916662281E-2</v>
      </c>
      <c r="E22" s="33">
        <v>9.0768490916662281E-2</v>
      </c>
      <c r="F22" s="33">
        <v>9.0768490916662281E-2</v>
      </c>
      <c r="G22" s="33">
        <v>9.0768490916662281E-2</v>
      </c>
      <c r="H22" s="33">
        <v>9.0768490916662281E-2</v>
      </c>
      <c r="I22" s="33">
        <v>9.0768490916662281E-2</v>
      </c>
      <c r="J22" s="32"/>
      <c r="K22" s="19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">
      <c r="A23" s="5"/>
      <c r="B23" s="5"/>
      <c r="C23" s="35" t="s">
        <v>48</v>
      </c>
      <c r="D23" s="35">
        <v>0</v>
      </c>
      <c r="E23" s="34">
        <v>1</v>
      </c>
      <c r="F23" s="34">
        <v>2</v>
      </c>
      <c r="G23" s="34">
        <v>3</v>
      </c>
      <c r="H23" s="34">
        <v>4</v>
      </c>
      <c r="I23" s="34">
        <v>5</v>
      </c>
      <c r="J23" s="32"/>
      <c r="K23" s="19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5"/>
      <c r="B24" s="5"/>
      <c r="C24" s="35" t="s">
        <v>10</v>
      </c>
      <c r="D24" s="36">
        <v>1</v>
      </c>
      <c r="E24" s="36">
        <v>0.91678482494449209</v>
      </c>
      <c r="F24" s="36">
        <v>0.84049441524850321</v>
      </c>
      <c r="G24" s="36">
        <v>0.77055252535042229</v>
      </c>
      <c r="H24" s="36">
        <v>0.70643086206392336</v>
      </c>
      <c r="I24" s="36">
        <v>0.64764509421266059</v>
      </c>
      <c r="J24" s="32"/>
      <c r="K24" s="19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">
      <c r="A25" s="5"/>
      <c r="B25" s="5"/>
      <c r="C25" t="s">
        <v>35</v>
      </c>
      <c r="D25" s="20">
        <v>18284.75</v>
      </c>
      <c r="E25" s="20">
        <v>-28889.293431567927</v>
      </c>
      <c r="F25" s="20">
        <v>-14593.199600585907</v>
      </c>
      <c r="G25" s="20">
        <v>-329.46101310256421</v>
      </c>
      <c r="H25" s="20">
        <v>28151.921487680276</v>
      </c>
      <c r="I25" s="20">
        <v>41540.932291109151</v>
      </c>
      <c r="J25" s="32"/>
      <c r="K25" s="19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5"/>
      <c r="B26" s="5"/>
      <c r="E26" s="20"/>
      <c r="F26" s="20"/>
      <c r="G26" s="20"/>
      <c r="H26" s="20"/>
      <c r="I26" s="20"/>
      <c r="J26" s="32"/>
      <c r="K26" s="19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">
      <c r="A27" s="5"/>
      <c r="B27" s="5"/>
      <c r="C27" t="s">
        <v>37</v>
      </c>
      <c r="I27" s="1">
        <v>25880.899733533031</v>
      </c>
      <c r="J27" s="31"/>
      <c r="K27" s="19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5"/>
      <c r="B28" s="5"/>
      <c r="J28" s="31"/>
      <c r="K28" s="19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3">
      <c r="A29" s="5"/>
      <c r="B29" s="5"/>
      <c r="C29" s="21" t="s">
        <v>51</v>
      </c>
      <c r="D29" s="21"/>
      <c r="E29" s="21"/>
      <c r="F29" s="21"/>
      <c r="G29" s="21"/>
      <c r="H29" s="21"/>
      <c r="I29" s="21"/>
      <c r="J29" s="31"/>
      <c r="K29" s="19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5"/>
      <c r="B30" s="5"/>
      <c r="C30" t="s">
        <v>50</v>
      </c>
      <c r="D30" s="3">
        <v>2.5000000000000001E-2</v>
      </c>
      <c r="J30" s="31"/>
      <c r="K30" s="19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">
      <c r="A31" s="5"/>
      <c r="B31" s="5"/>
      <c r="C31" t="s">
        <v>40</v>
      </c>
      <c r="D31" s="1">
        <v>65745.04459135994</v>
      </c>
      <c r="J31" s="31"/>
      <c r="K31" s="19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5"/>
      <c r="B32" s="5"/>
      <c r="C32" t="s">
        <v>39</v>
      </c>
      <c r="D32" s="1">
        <v>999643.50215467077</v>
      </c>
      <c r="J32" s="31"/>
      <c r="K32" s="19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3">
      <c r="A33" s="5"/>
      <c r="B33" s="5"/>
      <c r="C33" t="s">
        <v>41</v>
      </c>
      <c r="D33" s="1">
        <v>647414.21013203578</v>
      </c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5"/>
      <c r="B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">
      <c r="A35" s="5"/>
      <c r="B35" s="5"/>
      <c r="C35" t="s">
        <v>43</v>
      </c>
      <c r="D35" s="1">
        <v>673295.10986556881</v>
      </c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5"/>
      <c r="B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">
      <c r="A37" s="5"/>
      <c r="B37" s="5"/>
      <c r="C37" s="21" t="s">
        <v>38</v>
      </c>
      <c r="D37" s="21"/>
      <c r="E37" s="21"/>
      <c r="F37" s="21"/>
      <c r="G37" s="21"/>
      <c r="H37" s="21"/>
      <c r="I37" s="21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ht="14.4" customHeight="1" x14ac:dyDescent="0.4">
      <c r="A38" s="5"/>
      <c r="B38" s="5"/>
      <c r="C38" t="s">
        <v>42</v>
      </c>
      <c r="D38" s="37">
        <v>14</v>
      </c>
      <c r="F38" s="18"/>
      <c r="I38" s="18" t="s">
        <v>56</v>
      </c>
      <c r="J38" t="s">
        <v>32</v>
      </c>
      <c r="K38" s="6"/>
      <c r="L38" s="6"/>
      <c r="M38" s="5"/>
      <c r="N38" s="48" t="s">
        <v>58</v>
      </c>
      <c r="O38" s="5"/>
      <c r="P38" s="5"/>
      <c r="Q38" s="48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ht="14.4" customHeight="1" x14ac:dyDescent="0.3">
      <c r="A39" s="5"/>
      <c r="B39" s="5"/>
      <c r="C39" t="s">
        <v>39</v>
      </c>
      <c r="D39" s="1">
        <v>2586185.3570559993</v>
      </c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ht="14.4" customHeight="1" x14ac:dyDescent="0.3">
      <c r="A40" s="5"/>
      <c r="B40" s="5"/>
      <c r="C40" t="s">
        <v>41</v>
      </c>
      <c r="D40" s="1">
        <v>1674930.2592219359</v>
      </c>
      <c r="K40" s="6"/>
      <c r="L40" s="6"/>
      <c r="M40" s="5"/>
      <c r="N40" s="50" t="s">
        <v>57</v>
      </c>
      <c r="O40" s="51"/>
      <c r="P40" s="51"/>
      <c r="Q40" s="51"/>
      <c r="R40" s="51"/>
      <c r="S40" s="51"/>
      <c r="T40" s="5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">
      <c r="A41" s="5"/>
      <c r="B41" s="5"/>
      <c r="E41" s="37"/>
      <c r="K41" s="6"/>
      <c r="L41" s="6"/>
      <c r="M41" s="5"/>
      <c r="N41" s="50"/>
      <c r="O41" s="51"/>
      <c r="P41" s="51"/>
      <c r="Q41" s="51"/>
      <c r="R41" s="51"/>
      <c r="S41" s="51"/>
      <c r="T41" s="51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5"/>
      <c r="B42" s="5"/>
      <c r="C42" t="s">
        <v>43</v>
      </c>
      <c r="D42" s="1">
        <v>1700811.1589554688</v>
      </c>
      <c r="K42" s="6"/>
      <c r="L42" s="6"/>
      <c r="M42" s="5"/>
      <c r="N42" s="52" t="s">
        <v>9</v>
      </c>
      <c r="O42" s="49">
        <f>D50</f>
        <v>675.94476821783087</v>
      </c>
      <c r="P42" s="37">
        <f>Q42-2</f>
        <v>10</v>
      </c>
      <c r="Q42" s="37">
        <f>R42-2</f>
        <v>12</v>
      </c>
      <c r="R42" s="37">
        <f>D38</f>
        <v>14</v>
      </c>
      <c r="S42" s="37">
        <f>R42+2</f>
        <v>16</v>
      </c>
      <c r="T42" s="37">
        <f>S42+2</f>
        <v>18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">
      <c r="A43" s="5"/>
      <c r="B43" s="5"/>
      <c r="K43" s="6"/>
      <c r="L43" s="6"/>
      <c r="M43" s="5"/>
      <c r="N43" s="53"/>
      <c r="O43" s="3">
        <f>O44+0.25%</f>
        <v>9.8268490916662288E-2</v>
      </c>
      <c r="P43" s="45">
        <f t="dataTable" ref="P43:T49" dt2D="1" dtr="1" r1="D38" r2="D14" ca="1"/>
        <v>471.78594103027001</v>
      </c>
      <c r="Q43" s="46">
        <v>381.11276917507479</v>
      </c>
      <c r="R43" s="46">
        <v>381.11276917507479</v>
      </c>
      <c r="S43" s="47">
        <v>471.78594103027001</v>
      </c>
      <c r="T43" s="47">
        <v>653.13228474066022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5"/>
      <c r="B44" s="5"/>
      <c r="C44" s="21" t="s">
        <v>52</v>
      </c>
      <c r="D44" s="21"/>
      <c r="K44" s="6"/>
      <c r="L44" s="6"/>
      <c r="M44" s="5"/>
      <c r="N44" s="53"/>
      <c r="O44" s="3">
        <f>O45+0.25%</f>
        <v>9.5768490916662286E-2</v>
      </c>
      <c r="P44" s="45">
        <v>477.20780688280485</v>
      </c>
      <c r="Q44" s="46">
        <v>385.49554853239351</v>
      </c>
      <c r="R44" s="46">
        <v>385.49554853239351</v>
      </c>
      <c r="S44" s="47">
        <v>477.20780688280485</v>
      </c>
      <c r="T44" s="47">
        <v>660.63232358362745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">
      <c r="A45" s="5"/>
      <c r="B45" s="5"/>
      <c r="C45" t="s">
        <v>53</v>
      </c>
      <c r="D45" s="1">
        <v>1700811.1589554688</v>
      </c>
      <c r="K45" s="6"/>
      <c r="L45" s="6"/>
      <c r="M45" s="5"/>
      <c r="N45" s="53"/>
      <c r="O45" s="3">
        <f>O46+0.25%</f>
        <v>9.3268490916662283E-2</v>
      </c>
      <c r="P45" s="45">
        <v>482.7045948722735</v>
      </c>
      <c r="Q45" s="46">
        <v>389.93892809510908</v>
      </c>
      <c r="R45" s="46">
        <v>389.93892809510908</v>
      </c>
      <c r="S45" s="47">
        <v>482.7045948722735</v>
      </c>
      <c r="T45" s="47">
        <v>668.2359284266023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5"/>
      <c r="B46" s="5" t="s">
        <v>13</v>
      </c>
      <c r="C46" t="s">
        <v>1</v>
      </c>
      <c r="D46" s="1">
        <v>81592</v>
      </c>
      <c r="K46" s="6"/>
      <c r="L46" s="6"/>
      <c r="M46" s="5"/>
      <c r="N46" s="53"/>
      <c r="O46" s="3">
        <f>D14</f>
        <v>9.0768490916662281E-2</v>
      </c>
      <c r="P46" s="45">
        <v>488.27751228260001</v>
      </c>
      <c r="Q46" s="46">
        <v>394.44388431498459</v>
      </c>
      <c r="R46" s="46">
        <v>394.44388431498459</v>
      </c>
      <c r="S46" s="47">
        <v>488.27751228260001</v>
      </c>
      <c r="T46" s="47">
        <v>675.94476821783087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">
      <c r="A47" s="5"/>
      <c r="B47" s="5" t="s">
        <v>12</v>
      </c>
      <c r="C47" t="s">
        <v>2</v>
      </c>
      <c r="D47" s="1">
        <v>58744</v>
      </c>
      <c r="K47" s="6"/>
      <c r="L47" s="6"/>
      <c r="M47" s="5"/>
      <c r="N47" s="53"/>
      <c r="O47" s="3">
        <f>O46-0.25%</f>
        <v>8.8268490916662279E-2</v>
      </c>
      <c r="P47" s="45">
        <v>493.92778867000987</v>
      </c>
      <c r="Q47" s="46">
        <v>399.01141165438037</v>
      </c>
      <c r="R47" s="46">
        <v>399.01141165438037</v>
      </c>
      <c r="S47" s="47">
        <v>493.92778867000987</v>
      </c>
      <c r="T47" s="47">
        <v>683.76054270126872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5"/>
      <c r="B48" s="5"/>
      <c r="C48" t="s">
        <v>11</v>
      </c>
      <c r="D48" s="1">
        <v>1723659.1589554688</v>
      </c>
      <c r="K48" s="6"/>
      <c r="L48" s="6"/>
      <c r="M48" s="5"/>
      <c r="N48" s="53"/>
      <c r="O48" s="3">
        <f>O47-0.25%</f>
        <v>8.5768490916662277E-2</v>
      </c>
      <c r="P48" s="45">
        <v>499.65667632632028</v>
      </c>
      <c r="Q48" s="46">
        <v>403.64252296082327</v>
      </c>
      <c r="R48" s="46">
        <v>403.64252296082327</v>
      </c>
      <c r="S48" s="47">
        <v>499.65667632632028</v>
      </c>
      <c r="T48" s="47">
        <v>691.68498305731441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3">
      <c r="A49" s="5"/>
      <c r="B49" s="5" t="s">
        <v>54</v>
      </c>
      <c r="C49" t="s">
        <v>25</v>
      </c>
      <c r="D49" s="1">
        <v>2550</v>
      </c>
      <c r="K49" s="6"/>
      <c r="L49" s="6"/>
      <c r="M49" s="5"/>
      <c r="N49" s="54"/>
      <c r="O49" s="3">
        <f>O48-0.25%</f>
        <v>8.3268490916662274E-2</v>
      </c>
      <c r="P49" s="45">
        <v>505.46545075295893</v>
      </c>
      <c r="Q49" s="46">
        <v>408.33824985024722</v>
      </c>
      <c r="R49" s="46">
        <v>408.33824985024722</v>
      </c>
      <c r="S49" s="47">
        <v>505.46545075295893</v>
      </c>
      <c r="T49" s="47">
        <v>699.7198525583824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5"/>
      <c r="B50" s="5"/>
      <c r="C50" t="s">
        <v>55</v>
      </c>
      <c r="D50" s="16">
        <v>675.94476821783087</v>
      </c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">
      <c r="A51" s="5"/>
      <c r="B51" s="5"/>
      <c r="D51" s="16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">
      <c r="A52" s="5"/>
      <c r="B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3">
      <c r="A53" s="5"/>
      <c r="B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3">
      <c r="A54" s="5"/>
      <c r="B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3">
      <c r="A55" s="5"/>
      <c r="B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3">
      <c r="A56" s="5"/>
      <c r="B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4.2" customHeight="1" x14ac:dyDescent="0.3">
      <c r="A57" s="5"/>
      <c r="B57" s="5"/>
      <c r="C57" s="11"/>
      <c r="D57" s="11"/>
      <c r="E57" s="11"/>
      <c r="F57" s="11"/>
      <c r="G57" s="11"/>
      <c r="H57" s="11"/>
      <c r="I57" s="11"/>
      <c r="J57" s="11"/>
      <c r="K57" s="11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3">
      <c r="A58" s="5"/>
      <c r="B58" s="5"/>
      <c r="C58" s="10"/>
      <c r="D58" s="10"/>
      <c r="E58" s="10"/>
      <c r="F58" s="10"/>
      <c r="G58" s="10"/>
      <c r="H58" s="10"/>
      <c r="I58" s="10"/>
      <c r="J58" s="10"/>
      <c r="K58" s="5"/>
      <c r="L58" s="1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</sheetData>
  <mergeCells count="2">
    <mergeCell ref="N40:T41"/>
    <mergeCell ref="N42:N49"/>
  </mergeCells>
  <hyperlinks>
    <hyperlink ref="I38" r:id="rId1" xr:uid="{88C901DC-E486-4890-9947-48E3818B26F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2912-0DA4-45D3-9E47-3B95525D8BA1}">
  <dimension ref="A1:AV176"/>
  <sheetViews>
    <sheetView workbookViewId="0">
      <selection activeCell="L11" sqref="L11"/>
    </sheetView>
  </sheetViews>
  <sheetFormatPr defaultRowHeight="14.4" x14ac:dyDescent="0.3"/>
  <cols>
    <col min="3" max="3" width="27" customWidth="1"/>
    <col min="4" max="5" width="10.109375" bestFit="1" customWidth="1"/>
    <col min="6" max="6" width="10.109375" customWidth="1"/>
    <col min="7" max="7" width="1.5546875" customWidth="1"/>
    <col min="8" max="8" width="1" customWidth="1"/>
  </cols>
  <sheetData>
    <row r="1" spans="1:48" x14ac:dyDescent="0.3">
      <c r="A1" s="8"/>
      <c r="B1" s="8"/>
      <c r="C1" s="8"/>
      <c r="D1" s="8"/>
      <c r="E1" s="8"/>
      <c r="F1" s="8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3">
      <c r="A2" s="9" t="s">
        <v>9</v>
      </c>
      <c r="B2" s="5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3">
      <c r="A3" s="5"/>
      <c r="B3" s="5"/>
      <c r="G3" s="6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3">
      <c r="A4" s="14"/>
      <c r="B4" s="5"/>
      <c r="D4" s="14"/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3">
      <c r="A5" s="5"/>
      <c r="B5" s="5"/>
      <c r="G5" s="6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3">
      <c r="A6" s="5"/>
      <c r="B6" s="5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3">
      <c r="A7" s="8"/>
      <c r="B7" s="7"/>
      <c r="C7" s="7"/>
      <c r="D7" s="7"/>
      <c r="E7" s="7"/>
      <c r="F7" s="7"/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3">
      <c r="A8" s="5"/>
      <c r="B8" s="5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3">
      <c r="A9" s="5"/>
      <c r="B9" s="5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3">
      <c r="A10" s="5"/>
      <c r="B10" s="23"/>
      <c r="C10" s="41" t="s">
        <v>14</v>
      </c>
      <c r="D10" s="38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3">
      <c r="A11" s="5"/>
      <c r="B11" s="23"/>
      <c r="C11" s="42" t="s">
        <v>0</v>
      </c>
      <c r="D11" s="1">
        <v>1639035</v>
      </c>
      <c r="E11" s="1"/>
      <c r="G11" s="6"/>
      <c r="H11" s="6"/>
      <c r="I11" s="5"/>
      <c r="J11" s="39"/>
      <c r="K11" s="17"/>
      <c r="L11" s="17"/>
      <c r="M11" s="4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3">
      <c r="B12" s="23"/>
      <c r="C12" s="42" t="s">
        <v>2</v>
      </c>
      <c r="D12" s="1">
        <v>58744</v>
      </c>
      <c r="E12" s="1"/>
      <c r="G12" s="6"/>
      <c r="H12" s="6"/>
      <c r="I12" s="5"/>
      <c r="J12" s="39"/>
      <c r="K12" s="17"/>
      <c r="L12" s="17"/>
      <c r="M12" s="4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">
      <c r="A13" s="5"/>
      <c r="B13" s="23"/>
      <c r="C13" s="43" t="s">
        <v>26</v>
      </c>
      <c r="D13" s="4">
        <v>1697779</v>
      </c>
      <c r="E13" s="1"/>
      <c r="G13" s="6"/>
      <c r="H13" s="6"/>
      <c r="I13" s="5"/>
      <c r="J13" s="39"/>
      <c r="K13" s="17"/>
      <c r="L13" s="17"/>
      <c r="M13" s="4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3">
      <c r="A14" s="5"/>
      <c r="B14" s="23"/>
      <c r="C14" s="43" t="s">
        <v>27</v>
      </c>
      <c r="D14" s="26">
        <v>0.96539950134852648</v>
      </c>
      <c r="E14" s="1"/>
      <c r="G14" s="6"/>
      <c r="H14" s="6"/>
      <c r="I14" s="5"/>
      <c r="J14" s="39"/>
      <c r="K14" s="17"/>
      <c r="L14" s="17"/>
      <c r="M14" s="40"/>
      <c r="N14" s="5"/>
      <c r="O14" s="5"/>
      <c r="P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3">
      <c r="A15" s="5"/>
      <c r="B15" s="23"/>
      <c r="C15" s="43" t="s">
        <v>28</v>
      </c>
      <c r="D15" s="26">
        <v>3.4600498651473487E-2</v>
      </c>
      <c r="E15" s="3"/>
      <c r="G15" s="6"/>
      <c r="H15" s="6"/>
      <c r="I15" s="5"/>
      <c r="J15" s="30"/>
      <c r="K15" s="17"/>
      <c r="L15" s="17"/>
      <c r="M15" s="4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3">
      <c r="A16" s="5"/>
      <c r="B16" s="23"/>
      <c r="C16" s="42" t="s">
        <v>29</v>
      </c>
      <c r="D16" s="3">
        <v>4.2799999999999998E-2</v>
      </c>
      <c r="G16" s="6"/>
      <c r="H16" s="6"/>
      <c r="I16" s="5"/>
      <c r="J16" s="17"/>
      <c r="K16" s="17"/>
      <c r="L16" s="17"/>
      <c r="M16" s="4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3">
      <c r="A17" s="5"/>
      <c r="B17" s="23"/>
      <c r="C17" s="42" t="s">
        <v>16</v>
      </c>
      <c r="D17" s="2">
        <v>1.2</v>
      </c>
      <c r="G17" s="6"/>
      <c r="H17" s="6"/>
      <c r="I17" s="5"/>
      <c r="J17" s="17"/>
      <c r="K17" s="17"/>
      <c r="L17" s="17"/>
      <c r="M17" s="4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3">
      <c r="A18" s="5"/>
      <c r="B18" s="23"/>
      <c r="C18" s="42" t="s">
        <v>30</v>
      </c>
      <c r="D18" s="3">
        <v>4.1799999999999997E-2</v>
      </c>
      <c r="E18" t="s">
        <v>31</v>
      </c>
      <c r="F18" t="s">
        <v>32</v>
      </c>
      <c r="G18" s="6"/>
      <c r="H18" s="6"/>
      <c r="I18" s="5"/>
      <c r="J18" s="17"/>
      <c r="K18" s="17"/>
      <c r="L18" s="17"/>
      <c r="M18" s="4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3">
      <c r="A19" s="5"/>
      <c r="B19" s="23"/>
      <c r="C19" s="43" t="s">
        <v>15</v>
      </c>
      <c r="D19" s="26">
        <v>9.2959999999999987E-2</v>
      </c>
      <c r="G19" s="6"/>
      <c r="H19" s="6"/>
      <c r="I19" s="5"/>
      <c r="J19" s="17"/>
      <c r="K19" s="17"/>
      <c r="L19" s="17"/>
      <c r="M19" s="4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3">
      <c r="A20" s="5"/>
      <c r="B20" s="23"/>
      <c r="C20" s="42" t="s">
        <v>46</v>
      </c>
      <c r="D20" s="26">
        <v>4.1000000000000002E-2</v>
      </c>
      <c r="E20" t="s">
        <v>47</v>
      </c>
      <c r="F20" t="s">
        <v>32</v>
      </c>
      <c r="G20" s="6"/>
      <c r="H20" s="6"/>
      <c r="I20" s="5"/>
      <c r="J20" s="17"/>
      <c r="K20" s="17"/>
      <c r="L20" s="17"/>
      <c r="M20" s="4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3">
      <c r="A21" s="5"/>
      <c r="B21" s="23"/>
      <c r="C21" s="43" t="s">
        <v>17</v>
      </c>
      <c r="D21" s="26">
        <v>3.4849999999999999E-2</v>
      </c>
      <c r="G21" s="6"/>
      <c r="H21" s="6"/>
      <c r="I21" s="5"/>
      <c r="J21" s="17"/>
      <c r="K21" s="17"/>
      <c r="L21" s="17"/>
      <c r="M21" s="4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3">
      <c r="A22" s="5"/>
      <c r="B22" s="23"/>
      <c r="C22" s="42" t="s">
        <v>18</v>
      </c>
      <c r="D22" s="3">
        <v>0.15</v>
      </c>
      <c r="G22" s="6"/>
      <c r="H22" s="6"/>
      <c r="I22" s="5"/>
      <c r="J22" s="17"/>
      <c r="K22" s="17"/>
      <c r="L22" s="17"/>
      <c r="M22" s="4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3">
      <c r="A23" s="5"/>
      <c r="B23" s="23"/>
      <c r="C23" s="44" t="s">
        <v>9</v>
      </c>
      <c r="D23" s="33">
        <v>9.0768490916662281E-2</v>
      </c>
      <c r="G23" s="6"/>
      <c r="H23" s="6"/>
      <c r="I23" s="5"/>
      <c r="J23" s="17"/>
      <c r="K23" s="17"/>
      <c r="L23" s="17"/>
      <c r="M23" s="4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3">
      <c r="A24" s="5"/>
      <c r="B24" s="23"/>
      <c r="C24" s="28"/>
      <c r="D24" s="22"/>
      <c r="G24" s="6"/>
      <c r="H24" s="6"/>
      <c r="I24" s="5"/>
      <c r="J24" s="40"/>
      <c r="K24" s="40"/>
      <c r="L24" s="40"/>
      <c r="M24" s="4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3">
      <c r="A25" s="27"/>
      <c r="B25" s="23"/>
      <c r="C25" s="29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3">
      <c r="A26" s="5"/>
      <c r="B26" s="5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">
      <c r="A27" s="5"/>
      <c r="B27" s="5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ht="6" customHeight="1" x14ac:dyDescent="0.3">
      <c r="A28" s="5"/>
      <c r="B28" s="5"/>
      <c r="C28" s="11"/>
      <c r="D28" s="11"/>
      <c r="E28" s="11"/>
      <c r="F28" s="11"/>
      <c r="G28" s="11"/>
      <c r="H28" s="1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3">
      <c r="A29" s="5"/>
      <c r="B29" s="5"/>
      <c r="C29" s="10"/>
      <c r="D29" s="10"/>
      <c r="E29" s="10"/>
      <c r="F29" s="10"/>
      <c r="G29" s="5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WAAC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2026-02-23T22:07:37Z</dcterms:modified>
</cp:coreProperties>
</file>