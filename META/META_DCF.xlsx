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DFAD8075-E7CD-4B89-9CEB-97B6158070DF}" xr6:coauthVersionLast="47" xr6:coauthVersionMax="47" xr10:uidLastSave="{00000000-0000-0000-0000-000000000000}"/>
  <bookViews>
    <workbookView xWindow="-28920" yWindow="660" windowWidth="29040" windowHeight="15720" xr2:uid="{D01B25C2-CA04-4D87-8896-28C88946E0C3}"/>
  </bookViews>
  <sheets>
    <sheet name="DCF" sheetId="7" r:id="rId1"/>
    <sheet name="WAAC" sheetId="3" r:id="rId2"/>
    <sheet name="Inputs" sheetId="6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6" l="1"/>
  <c r="P42" i="7" l="1"/>
  <c r="Q42" i="7"/>
  <c r="T42" i="7"/>
  <c r="S42" i="7"/>
  <c r="O45" i="7"/>
  <c r="O44" i="7" s="1"/>
  <c r="O43" i="7" s="1"/>
  <c r="O47" i="7"/>
  <c r="O48" i="7"/>
  <c r="O49" i="7"/>
  <c r="O42" i="7" l="1"/>
</calcChain>
</file>

<file path=xl/sharedStrings.xml><?xml version="1.0" encoding="utf-8"?>
<sst xmlns="http://schemas.openxmlformats.org/spreadsheetml/2006/main" count="120" uniqueCount="85">
  <si>
    <t>Capital Structure</t>
  </si>
  <si>
    <t>MC</t>
  </si>
  <si>
    <t>Cash</t>
  </si>
  <si>
    <t>Debt</t>
  </si>
  <si>
    <t>Revenue</t>
  </si>
  <si>
    <t>COGS</t>
  </si>
  <si>
    <t>FY2026</t>
  </si>
  <si>
    <t>EBITDA</t>
  </si>
  <si>
    <t>FY2027</t>
  </si>
  <si>
    <t>FY2028</t>
  </si>
  <si>
    <t>D&amp;A</t>
  </si>
  <si>
    <t>DCF Model</t>
  </si>
  <si>
    <t>Capex</t>
  </si>
  <si>
    <t>WAAC</t>
  </si>
  <si>
    <t>Discount Factor</t>
  </si>
  <si>
    <t>Equity Value</t>
  </si>
  <si>
    <t>-</t>
  </si>
  <si>
    <t>+</t>
  </si>
  <si>
    <t>WAAC Calculation</t>
  </si>
  <si>
    <t>Cost of Equity</t>
  </si>
  <si>
    <t>Beta</t>
  </si>
  <si>
    <t>Cost of Debt</t>
  </si>
  <si>
    <t>Tax Rate</t>
  </si>
  <si>
    <t>R&amp;D</t>
  </si>
  <si>
    <t>FY2029</t>
  </si>
  <si>
    <t>FY2030</t>
  </si>
  <si>
    <t>DCF</t>
  </si>
  <si>
    <t xml:space="preserve"> $millions</t>
  </si>
  <si>
    <t>5-year FCF Model</t>
  </si>
  <si>
    <t xml:space="preserve">EBIT </t>
  </si>
  <si>
    <t>Shares Outstanding</t>
  </si>
  <si>
    <t>Total Capital</t>
  </si>
  <si>
    <t>%Equity</t>
  </si>
  <si>
    <t>%Debt</t>
  </si>
  <si>
    <t>Risk Free Rate (EFP)</t>
  </si>
  <si>
    <t>Equity Risk Premium (ERP)</t>
  </si>
  <si>
    <t>(Damodaran/JPM)</t>
  </si>
  <si>
    <t>Inputs</t>
  </si>
  <si>
    <t xml:space="preserve">‎ </t>
  </si>
  <si>
    <t>Guidance/Notes</t>
  </si>
  <si>
    <t>Meta guided Q126 at 30%. Over 20% is JPM Guidance</t>
  </si>
  <si>
    <t>UFCF</t>
  </si>
  <si>
    <t>CapEx</t>
  </si>
  <si>
    <t>PV of UFCFs</t>
  </si>
  <si>
    <t xml:space="preserve">Discount rate (r) </t>
  </si>
  <si>
    <t>Stage 1: Sum of present values</t>
  </si>
  <si>
    <t>Terminal value - EBITDA multiple approach</t>
  </si>
  <si>
    <t>Terminal value in 2030</t>
  </si>
  <si>
    <t>2030 FCF x (1+g)</t>
  </si>
  <si>
    <t>Stage 2: PV of TV</t>
  </si>
  <si>
    <t>EBITDA multiple</t>
  </si>
  <si>
    <t>Enterprise Value (Stage 1+2)</t>
  </si>
  <si>
    <t>Guidance for 2026 is $115B–$135B. I expect that to continue for the next till 2028</t>
  </si>
  <si>
    <t>META Servers useful life at 5.5yrs - Look at Meta 2024 Report Page 1, Footnote1 ---  https://investor.atmeta.com/investor-news/press-release-details/2025/Meta-Reports-Fourth-Quarter-and-Full-Year-2024-Results/</t>
  </si>
  <si>
    <t>Change in NWC</t>
  </si>
  <si>
    <t>EBIT x (1-t)</t>
  </si>
  <si>
    <t>Yield to Maturity</t>
  </si>
  <si>
    <t>The average yield for Meta's 2029-2031 bonds</t>
  </si>
  <si>
    <t>Discount Period</t>
  </si>
  <si>
    <t>FY2025A</t>
  </si>
  <si>
    <t>Long term growth rate (g)</t>
  </si>
  <si>
    <t>Terminal value - growth in perpetuity approach</t>
  </si>
  <si>
    <t>Implied Share price</t>
  </si>
  <si>
    <t>Enterprise Value</t>
  </si>
  <si>
    <t>/</t>
  </si>
  <si>
    <t>Intrinsic Share price</t>
  </si>
  <si>
    <t>https://www.investing.com/pro/NASDAQGS:META/explorer/ev_to_ebitda_ltm</t>
  </si>
  <si>
    <t>SG&amp;A</t>
  </si>
  <si>
    <t>EBITDAx</t>
  </si>
  <si>
    <t>Sensitivity Tables</t>
  </si>
  <si>
    <t>Base</t>
  </si>
  <si>
    <t>COGS is usually 18-20% of revenue. Mark zuckerberg projects atleast 163B in spending (AI Infrastructure), Elevated to 25% to account for higher energy and maintenance costs associated with AI infrastructure</t>
  </si>
  <si>
    <t>Maintained at 30% to reflect Meta's ongoing commitment to open-source AI</t>
  </si>
  <si>
    <t>Stabilized at 12% following 'Year of Efficiency' restructuring</t>
  </si>
  <si>
    <t>15% based on management guidance of 13%–16% for FY2026</t>
  </si>
  <si>
    <t>%Revenue</t>
  </si>
  <si>
    <t>Assumptions/Inputs</t>
  </si>
  <si>
    <t>Growth &amp; Revenue</t>
  </si>
  <si>
    <t>Expenses</t>
  </si>
  <si>
    <t>Capex - D&amp;A</t>
  </si>
  <si>
    <t>EBITDA Multiple</t>
  </si>
  <si>
    <t>Net Working Capital</t>
  </si>
  <si>
    <t>14.0x selected as a conservative mid-point vs. peer median (14.8x)</t>
  </si>
  <si>
    <t>Valuation</t>
  </si>
  <si>
    <t>A fully linked model with formulas is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</si>
</sst>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\x_);\(0.0\x\);@_)"/>
    <numFmt numFmtId="182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9"/>
      <name val="Calibri Light"/>
      <family val="2"/>
      <scheme val="major"/>
    </font>
    <font>
      <u/>
      <sz val="11"/>
      <color theme="10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2"/>
      </top>
      <bottom style="thin">
        <color theme="2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2"/>
      </bottom>
      <diagonal/>
    </border>
    <border>
      <left/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 tint="-0.14999847407452621"/>
      </left>
      <right style="thin">
        <color theme="0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8">
    <xf numFmtId="0" fontId="0" fillId="0" borderId="0" xfId="0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3" fontId="1" fillId="0" borderId="0" xfId="0" applyNumberFormat="1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2" fillId="2" borderId="0" xfId="0" applyFont="1" applyFill="1"/>
    <xf numFmtId="0" fontId="3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9" fontId="0" fillId="0" borderId="0" xfId="0" applyNumberFormat="1"/>
    <xf numFmtId="4" fontId="1" fillId="0" borderId="0" xfId="0" applyNumberFormat="1" applyFont="1"/>
    <xf numFmtId="2" fontId="0" fillId="0" borderId="0" xfId="0" applyNumberFormat="1"/>
    <xf numFmtId="0" fontId="0" fillId="4" borderId="0" xfId="0" applyFill="1"/>
    <xf numFmtId="0" fontId="5" fillId="0" borderId="0" xfId="1"/>
    <xf numFmtId="0" fontId="0" fillId="0" borderId="6" xfId="0" applyBorder="1"/>
    <xf numFmtId="3" fontId="0" fillId="4" borderId="7" xfId="0" applyNumberFormat="1" applyFill="1" applyBorder="1"/>
    <xf numFmtId="0" fontId="0" fillId="5" borderId="0" xfId="0" applyFill="1"/>
    <xf numFmtId="0" fontId="0" fillId="4" borderId="7" xfId="0" applyFill="1" applyBorder="1"/>
    <xf numFmtId="0" fontId="0" fillId="0" borderId="8" xfId="0" applyBorder="1"/>
    <xf numFmtId="3" fontId="0" fillId="0" borderId="7" xfId="0" applyNumberFormat="1" applyBorder="1"/>
    <xf numFmtId="0" fontId="0" fillId="0" borderId="7" xfId="0" applyBorder="1"/>
    <xf numFmtId="10" fontId="1" fillId="0" borderId="0" xfId="0" applyNumberFormat="1" applyFont="1"/>
    <xf numFmtId="0" fontId="3" fillId="0" borderId="1" xfId="0" applyFont="1" applyBorder="1"/>
    <xf numFmtId="0" fontId="0" fillId="4" borderId="9" xfId="0" applyFill="1" applyBorder="1"/>
    <xf numFmtId="0" fontId="0" fillId="0" borderId="10" xfId="0" applyBorder="1"/>
    <xf numFmtId="10" fontId="0" fillId="4" borderId="0" xfId="0" applyNumberFormat="1" applyFill="1"/>
    <xf numFmtId="0" fontId="0" fillId="0" borderId="11" xfId="0" applyBorder="1"/>
    <xf numFmtId="0" fontId="0" fillId="4" borderId="12" xfId="0" applyFill="1" applyBorder="1"/>
    <xf numFmtId="10" fontId="0" fillId="4" borderId="7" xfId="0" applyNumberFormat="1" applyFill="1" applyBorder="1"/>
    <xf numFmtId="3" fontId="0" fillId="3" borderId="7" xfId="0" applyNumberFormat="1" applyFill="1" applyBorder="1"/>
    <xf numFmtId="0" fontId="0" fillId="3" borderId="0" xfId="0" applyFill="1"/>
    <xf numFmtId="4" fontId="0" fillId="3" borderId="7" xfId="0" applyNumberFormat="1" applyFill="1" applyBorder="1"/>
    <xf numFmtId="167" fontId="0" fillId="0" borderId="0" xfId="0" applyNumberFormat="1"/>
    <xf numFmtId="10" fontId="0" fillId="5" borderId="0" xfId="0" applyNumberFormat="1" applyFill="1"/>
    <xf numFmtId="3" fontId="0" fillId="4" borderId="0" xfId="0" applyNumberFormat="1" applyFill="1"/>
    <xf numFmtId="0" fontId="0" fillId="4" borderId="1" xfId="0" applyFill="1" applyBorder="1"/>
    <xf numFmtId="2" fontId="0" fillId="5" borderId="10" xfId="0" applyNumberFormat="1" applyFill="1" applyBorder="1"/>
    <xf numFmtId="2" fontId="0" fillId="0" borderId="10" xfId="0" applyNumberFormat="1" applyBorder="1"/>
    <xf numFmtId="2" fontId="1" fillId="0" borderId="10" xfId="0" applyNumberFormat="1" applyFont="1" applyBorder="1"/>
    <xf numFmtId="2" fontId="0" fillId="4" borderId="9" xfId="0" applyNumberFormat="1" applyFill="1" applyBorder="1"/>
    <xf numFmtId="10" fontId="5" fillId="0" borderId="0" xfId="1" applyNumberFormat="1"/>
    <xf numFmtId="182" fontId="0" fillId="0" borderId="0" xfId="0" applyNumberFormat="1"/>
    <xf numFmtId="182" fontId="0" fillId="0" borderId="7" xfId="0" applyNumberFormat="1" applyBorder="1"/>
    <xf numFmtId="182" fontId="0" fillId="4" borderId="7" xfId="0" applyNumberFormat="1" applyFill="1" applyBorder="1"/>
    <xf numFmtId="0" fontId="8" fillId="0" borderId="1" xfId="0" applyFont="1" applyBorder="1"/>
    <xf numFmtId="167" fontId="1" fillId="0" borderId="0" xfId="0" applyNumberFormat="1" applyFont="1"/>
    <xf numFmtId="0" fontId="6" fillId="0" borderId="1" xfId="0" applyFont="1" applyBorder="1" applyAlignment="1">
      <alignment horizontal="center" vertical="center"/>
    </xf>
    <xf numFmtId="182" fontId="10" fillId="0" borderId="0" xfId="0" applyNumberFormat="1" applyFont="1"/>
    <xf numFmtId="3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0" fontId="5" fillId="0" borderId="0" xfId="1" applyNumberFormat="1" applyAlignment="1">
      <alignment horizontal="right"/>
    </xf>
    <xf numFmtId="0" fontId="0" fillId="0" borderId="0" xfId="0" applyAlignment="1">
      <alignment horizontal="right"/>
    </xf>
    <xf numFmtId="0" fontId="0" fillId="0" borderId="15" xfId="0" applyBorder="1"/>
    <xf numFmtId="0" fontId="3" fillId="0" borderId="15" xfId="0" applyFont="1" applyBorder="1"/>
    <xf numFmtId="10" fontId="0" fillId="0" borderId="0" xfId="0" applyNumberFormat="1" applyAlignment="1">
      <alignment horizontal="right"/>
    </xf>
    <xf numFmtId="0" fontId="2" fillId="0" borderId="1" xfId="0" applyFont="1" applyBorder="1"/>
    <xf numFmtId="0" fontId="7" fillId="5" borderId="10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13" xfId="0" applyFont="1" applyFill="1" applyBorder="1" applyAlignment="1">
      <alignment horizontal="center" vertical="center" textRotation="90"/>
    </xf>
    <xf numFmtId="0" fontId="7" fillId="5" borderId="14" xfId="0" applyFont="1" applyFill="1" applyBorder="1" applyAlignment="1">
      <alignment horizontal="center" vertical="center" textRotation="90"/>
    </xf>
    <xf numFmtId="0" fontId="7" fillId="5" borderId="3" xfId="0" applyFont="1" applyFill="1" applyBorder="1" applyAlignment="1">
      <alignment horizontal="center" vertical="center" textRotation="90"/>
    </xf>
    <xf numFmtId="182" fontId="1" fillId="0" borderId="7" xfId="0" applyNumberFormat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CCCC"/>
      <color rgb="FFFF9999"/>
      <color rgb="FFFFF8E5"/>
      <color rgb="FFF0F0F0"/>
      <color rgb="FFFBE4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87841</xdr:colOff>
      <xdr:row>0</xdr:row>
      <xdr:rowOff>0</xdr:rowOff>
    </xdr:from>
    <xdr:to>
      <xdr:col>13</xdr:col>
      <xdr:colOff>555101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417BDD-C21B-4D8D-850D-F711C2089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176" y="0"/>
          <a:ext cx="1073050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70484</xdr:colOff>
      <xdr:row>0</xdr:row>
      <xdr:rowOff>0</xdr:rowOff>
    </xdr:from>
    <xdr:to>
      <xdr:col>9</xdr:col>
      <xdr:colOff>549174</xdr:colOff>
      <xdr:row>5</xdr:row>
      <xdr:rowOff>169545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C18F12-BC45-4C1C-ADA2-504EFE880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4959" y="0"/>
          <a:ext cx="1080670" cy="107061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100965</xdr:colOff>
      <xdr:row>0</xdr:row>
      <xdr:rowOff>0</xdr:rowOff>
    </xdr:from>
    <xdr:to>
      <xdr:col>14</xdr:col>
      <xdr:colOff>591085</xdr:colOff>
      <xdr:row>5</xdr:row>
      <xdr:rowOff>173355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FFB383-AC08-454B-802D-13F208D84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480" y="0"/>
          <a:ext cx="1103530" cy="10782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nvesting.com/pro/NASDAQGS:META/explorer/ev_to_ebitda_l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C015F-523C-4AE1-9881-9ACDAAEADBE7}">
  <dimension ref="A1:AO205"/>
  <sheetViews>
    <sheetView tabSelected="1" workbookViewId="0">
      <selection activeCell="R28" sqref="R28:R29"/>
    </sheetView>
  </sheetViews>
  <sheetFormatPr defaultRowHeight="14.4" x14ac:dyDescent="0.3"/>
  <cols>
    <col min="3" max="3" width="27.44140625" customWidth="1"/>
    <col min="4" max="4" width="10.109375" customWidth="1"/>
    <col min="5" max="6" width="10.109375" bestFit="1" customWidth="1"/>
    <col min="7" max="9" width="10.109375" customWidth="1"/>
    <col min="10" max="10" width="7.77734375" customWidth="1"/>
    <col min="11" max="11" width="1.5546875" customWidth="1"/>
    <col min="12" max="12" width="1" customWidth="1"/>
  </cols>
  <sheetData>
    <row r="1" spans="1:41" x14ac:dyDescent="0.3">
      <c r="A1" s="8"/>
      <c r="B1" s="8"/>
      <c r="C1" s="8"/>
      <c r="D1" s="8"/>
      <c r="E1" s="8"/>
      <c r="F1" s="8"/>
      <c r="G1" s="8"/>
      <c r="H1" s="8"/>
      <c r="I1" s="8"/>
      <c r="J1" s="8"/>
      <c r="K1" s="6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3">
      <c r="A2" s="9" t="s">
        <v>26</v>
      </c>
      <c r="B2" s="5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3" spans="1:41" x14ac:dyDescent="0.3">
      <c r="A3" s="5"/>
      <c r="B3" s="5"/>
      <c r="C3" t="s">
        <v>84</v>
      </c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x14ac:dyDescent="0.3">
      <c r="A4" s="14"/>
      <c r="B4" s="5"/>
      <c r="E4" s="14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x14ac:dyDescent="0.3">
      <c r="A5" s="5"/>
      <c r="B5" s="5"/>
      <c r="K5" s="6"/>
      <c r="L5" s="6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x14ac:dyDescent="0.3">
      <c r="A6" s="5"/>
      <c r="B6" s="5"/>
      <c r="E6" s="13"/>
      <c r="G6" s="13"/>
      <c r="H6" s="13"/>
      <c r="J6" s="13"/>
      <c r="K6" s="6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x14ac:dyDescent="0.3">
      <c r="A7" s="8" t="s">
        <v>11</v>
      </c>
      <c r="B7" s="7"/>
      <c r="C7" s="7"/>
      <c r="D7" s="7"/>
      <c r="E7" s="7"/>
      <c r="F7" s="7"/>
      <c r="G7" s="7"/>
      <c r="H7" s="7"/>
      <c r="I7" s="7"/>
      <c r="J7" s="7"/>
      <c r="K7" s="6"/>
      <c r="L7" s="6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x14ac:dyDescent="0.3">
      <c r="A8" s="5"/>
      <c r="B8" s="5"/>
      <c r="K8" s="6"/>
      <c r="L8" s="6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x14ac:dyDescent="0.3">
      <c r="A9" t="s">
        <v>27</v>
      </c>
      <c r="B9" s="5"/>
      <c r="C9" s="22" t="s">
        <v>28</v>
      </c>
      <c r="D9" s="22"/>
      <c r="E9" s="22"/>
      <c r="F9" s="22"/>
      <c r="G9" s="22"/>
      <c r="H9" s="22"/>
      <c r="I9" s="22"/>
      <c r="K9" s="6"/>
      <c r="L9" s="6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x14ac:dyDescent="0.3">
      <c r="A10" s="5"/>
      <c r="B10" s="5"/>
      <c r="D10" t="s">
        <v>59</v>
      </c>
      <c r="E10" s="26" t="s">
        <v>6</v>
      </c>
      <c r="F10" s="26" t="s">
        <v>8</v>
      </c>
      <c r="G10" s="26" t="s">
        <v>9</v>
      </c>
      <c r="H10" s="26" t="s">
        <v>24</v>
      </c>
      <c r="I10" s="26" t="s">
        <v>25</v>
      </c>
      <c r="K10" s="6"/>
      <c r="L10" s="6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x14ac:dyDescent="0.3">
      <c r="B11" s="5"/>
      <c r="C11" t="s">
        <v>7</v>
      </c>
      <c r="D11" s="25">
        <v>101891</v>
      </c>
      <c r="E11" s="25">
        <v>109582.14000000001</v>
      </c>
      <c r="F11" s="25">
        <v>133519.46099999998</v>
      </c>
      <c r="G11" s="25">
        <v>155671.40710000001</v>
      </c>
      <c r="H11" s="25">
        <v>173725.11966800003</v>
      </c>
      <c r="I11" s="25">
        <v>170248.62684808002</v>
      </c>
      <c r="K11" s="6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x14ac:dyDescent="0.3">
      <c r="A12" s="5"/>
      <c r="B12" s="5"/>
      <c r="C12" t="s">
        <v>29</v>
      </c>
      <c r="D12" s="1">
        <v>83275</v>
      </c>
      <c r="E12" s="21">
        <v>79582.140000000014</v>
      </c>
      <c r="F12" s="21">
        <v>91519.460999999981</v>
      </c>
      <c r="G12" s="21">
        <v>100671.40710000001</v>
      </c>
      <c r="H12" s="21">
        <v>108725.11966800003</v>
      </c>
      <c r="I12" s="21">
        <v>115248.62684808002</v>
      </c>
      <c r="J12" s="32"/>
      <c r="K12" s="20"/>
      <c r="L12" s="6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x14ac:dyDescent="0.3">
      <c r="A13" s="5"/>
      <c r="B13" s="5"/>
      <c r="C13" t="s">
        <v>22</v>
      </c>
      <c r="D13" s="15">
        <v>0.15</v>
      </c>
      <c r="E13" s="15">
        <v>0.15</v>
      </c>
      <c r="F13" s="15">
        <v>0.15</v>
      </c>
      <c r="G13" s="15">
        <v>0.15</v>
      </c>
      <c r="H13" s="15">
        <v>0.15</v>
      </c>
      <c r="I13" s="15">
        <v>0.15</v>
      </c>
      <c r="J13" s="32"/>
      <c r="K13" s="20"/>
      <c r="L13" s="6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x14ac:dyDescent="0.3">
      <c r="A14" s="5"/>
      <c r="B14" s="5"/>
      <c r="C14" t="s">
        <v>13</v>
      </c>
      <c r="D14" s="3">
        <v>9.0768490916662281E-2</v>
      </c>
      <c r="E14" s="15"/>
      <c r="F14" s="15"/>
      <c r="G14" s="15"/>
      <c r="H14" s="15"/>
      <c r="I14" s="15"/>
      <c r="J14" s="32"/>
      <c r="K14" s="20"/>
      <c r="L14" s="6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x14ac:dyDescent="0.3">
      <c r="A15" s="5"/>
      <c r="B15" s="5"/>
      <c r="E15" s="21"/>
      <c r="F15" s="21"/>
      <c r="G15" s="21"/>
      <c r="H15" s="21"/>
      <c r="I15" s="21"/>
      <c r="J15" s="32"/>
      <c r="K15" s="20"/>
      <c r="L15" s="6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x14ac:dyDescent="0.3">
      <c r="A16" s="5"/>
      <c r="B16" s="5"/>
      <c r="C16" t="s">
        <v>55</v>
      </c>
      <c r="D16" s="21">
        <v>70783.75</v>
      </c>
      <c r="E16" s="21">
        <v>67644.819000000003</v>
      </c>
      <c r="F16" s="21">
        <v>77791.54184999998</v>
      </c>
      <c r="G16" s="21">
        <v>85570.696035000001</v>
      </c>
      <c r="H16" s="21">
        <v>92416.351717800018</v>
      </c>
      <c r="I16" s="21">
        <v>97961.332820868018</v>
      </c>
      <c r="J16" s="32"/>
      <c r="K16" s="20"/>
      <c r="L16" s="6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x14ac:dyDescent="0.3">
      <c r="A17" s="5"/>
      <c r="B17" s="5" t="s">
        <v>17</v>
      </c>
      <c r="C17" t="s">
        <v>10</v>
      </c>
      <c r="D17" s="1">
        <v>18616</v>
      </c>
      <c r="E17" s="21">
        <v>30000</v>
      </c>
      <c r="F17" s="21">
        <v>42000</v>
      </c>
      <c r="G17" s="21">
        <v>55000</v>
      </c>
      <c r="H17" s="21">
        <v>65000</v>
      </c>
      <c r="I17" s="21">
        <v>55000</v>
      </c>
      <c r="J17" s="32"/>
      <c r="K17" s="20"/>
      <c r="L17" s="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x14ac:dyDescent="0.3">
      <c r="A18" s="5"/>
      <c r="B18" s="5" t="s">
        <v>16</v>
      </c>
      <c r="C18" t="s">
        <v>54</v>
      </c>
      <c r="D18" s="1">
        <v>-885</v>
      </c>
      <c r="E18" s="21">
        <v>-2009.6500000000015</v>
      </c>
      <c r="F18" s="21">
        <v>-1808.6849999999977</v>
      </c>
      <c r="G18" s="21">
        <v>-1386.6585000000014</v>
      </c>
      <c r="H18" s="21">
        <v>-1220.2594800000006</v>
      </c>
      <c r="I18" s="21">
        <v>-988.41017880000072</v>
      </c>
      <c r="J18" s="32"/>
      <c r="K18" s="20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x14ac:dyDescent="0.3">
      <c r="A19" s="5"/>
      <c r="B19" s="5" t="s">
        <v>16</v>
      </c>
      <c r="C19" t="s">
        <v>42</v>
      </c>
      <c r="D19" s="1">
        <v>72000</v>
      </c>
      <c r="E19" s="21">
        <v>120000</v>
      </c>
      <c r="F19" s="21">
        <v>100000</v>
      </c>
      <c r="G19" s="21">
        <v>90000</v>
      </c>
      <c r="H19" s="21">
        <v>60000</v>
      </c>
      <c r="I19" s="21">
        <v>45000</v>
      </c>
      <c r="J19" s="32"/>
      <c r="K19" s="20"/>
      <c r="L19" s="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x14ac:dyDescent="0.3">
      <c r="A20" s="5"/>
      <c r="B20" s="5"/>
      <c r="C20" t="s">
        <v>41</v>
      </c>
      <c r="D20" s="21">
        <v>18284.75</v>
      </c>
      <c r="E20" s="21">
        <v>-20345.530999999988</v>
      </c>
      <c r="F20" s="21">
        <v>21600.226849999977</v>
      </c>
      <c r="G20" s="21">
        <v>51957.354534999991</v>
      </c>
      <c r="H20" s="21">
        <v>98636.611197800026</v>
      </c>
      <c r="I20" s="21">
        <v>108949.742999668</v>
      </c>
      <c r="J20" s="32"/>
      <c r="K20" s="20"/>
      <c r="L20" s="6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x14ac:dyDescent="0.3">
      <c r="A21" s="5"/>
      <c r="B21" s="5"/>
      <c r="E21" s="21"/>
      <c r="F21" s="21"/>
      <c r="G21" s="21"/>
      <c r="H21" s="21"/>
      <c r="I21" s="21"/>
      <c r="J21" s="32"/>
      <c r="K21" s="20"/>
      <c r="L21" s="6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x14ac:dyDescent="0.3">
      <c r="A22" s="5"/>
      <c r="B22" s="5"/>
      <c r="C22" t="s">
        <v>44</v>
      </c>
      <c r="D22" s="34">
        <v>9.0768490916662281E-2</v>
      </c>
      <c r="E22" s="34">
        <v>9.0768490916662281E-2</v>
      </c>
      <c r="F22" s="34">
        <v>9.0768490916662281E-2</v>
      </c>
      <c r="G22" s="34">
        <v>9.0768490916662281E-2</v>
      </c>
      <c r="H22" s="34">
        <v>9.0768490916662281E-2</v>
      </c>
      <c r="I22" s="34">
        <v>9.0768490916662281E-2</v>
      </c>
      <c r="J22" s="33"/>
      <c r="K22" s="20"/>
      <c r="L22" s="6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hidden="1" x14ac:dyDescent="0.3">
      <c r="A23" s="5"/>
      <c r="B23" s="5"/>
      <c r="C23" s="36" t="s">
        <v>58</v>
      </c>
      <c r="D23" s="36">
        <v>0</v>
      </c>
      <c r="E23" s="35">
        <v>1</v>
      </c>
      <c r="F23" s="35">
        <v>2</v>
      </c>
      <c r="G23" s="35">
        <v>3</v>
      </c>
      <c r="H23" s="35">
        <v>4</v>
      </c>
      <c r="I23" s="35">
        <v>5</v>
      </c>
      <c r="J23" s="33"/>
      <c r="K23" s="20"/>
      <c r="L23" s="6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hidden="1" x14ac:dyDescent="0.3">
      <c r="A24" s="5"/>
      <c r="B24" s="5"/>
      <c r="C24" s="36" t="s">
        <v>14</v>
      </c>
      <c r="D24" s="37">
        <v>1</v>
      </c>
      <c r="E24" s="37">
        <v>0.91678482494449209</v>
      </c>
      <c r="F24" s="37">
        <v>0.84049441524850321</v>
      </c>
      <c r="G24" s="37">
        <v>0.77055252535042229</v>
      </c>
      <c r="H24" s="37">
        <v>0.70643086206392336</v>
      </c>
      <c r="I24" s="37">
        <v>0.64764509421266059</v>
      </c>
      <c r="J24" s="33"/>
      <c r="K24" s="20"/>
      <c r="L24" s="6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x14ac:dyDescent="0.3">
      <c r="A25" s="5"/>
      <c r="B25" s="5"/>
      <c r="C25" t="s">
        <v>43</v>
      </c>
      <c r="D25" s="21"/>
      <c r="E25" s="21">
        <v>-18652.474076237726</v>
      </c>
      <c r="F25" s="21">
        <v>18154.87003552575</v>
      </c>
      <c r="G25" s="21">
        <v>40035.870747471461</v>
      </c>
      <c r="H25" s="21">
        <v>69679.946279525902</v>
      </c>
      <c r="I25" s="21">
        <v>70560.766569465137</v>
      </c>
      <c r="J25" s="33"/>
      <c r="K25" s="20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x14ac:dyDescent="0.3">
      <c r="A26" s="5"/>
      <c r="B26" s="5"/>
      <c r="E26" s="21"/>
      <c r="F26" s="21"/>
      <c r="G26" s="21"/>
      <c r="H26" s="21"/>
      <c r="I26" s="21"/>
      <c r="J26" s="33"/>
      <c r="K26" s="20"/>
      <c r="L26" s="6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x14ac:dyDescent="0.3">
      <c r="A27" s="5"/>
      <c r="B27" s="5"/>
      <c r="C27" t="s">
        <v>45</v>
      </c>
      <c r="I27" s="1">
        <v>179778.97955575053</v>
      </c>
      <c r="J27" s="32"/>
      <c r="K27" s="20"/>
      <c r="L27" s="6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x14ac:dyDescent="0.3">
      <c r="A28" s="5"/>
      <c r="B28" s="5"/>
      <c r="J28" s="32"/>
      <c r="K28" s="20"/>
      <c r="L28" s="6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x14ac:dyDescent="0.3">
      <c r="A29" s="5"/>
      <c r="B29" s="5"/>
      <c r="C29" s="22" t="s">
        <v>61</v>
      </c>
      <c r="D29" s="22"/>
      <c r="E29" s="22"/>
      <c r="F29" s="22"/>
      <c r="G29" s="22"/>
      <c r="H29" s="22"/>
      <c r="I29" s="22"/>
      <c r="J29" s="32"/>
      <c r="K29" s="20"/>
      <c r="L29" s="6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x14ac:dyDescent="0.3">
      <c r="A30" s="5"/>
      <c r="B30" s="5"/>
      <c r="C30" t="s">
        <v>60</v>
      </c>
      <c r="D30" s="3">
        <v>2.5000000000000001E-2</v>
      </c>
      <c r="J30" s="32"/>
      <c r="K30" s="20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x14ac:dyDescent="0.3">
      <c r="A31" s="5"/>
      <c r="B31" s="5"/>
      <c r="C31" t="s">
        <v>48</v>
      </c>
      <c r="D31" s="1">
        <v>111673.48657465969</v>
      </c>
      <c r="J31" s="32"/>
      <c r="K31" s="20"/>
      <c r="L31" s="6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x14ac:dyDescent="0.3">
      <c r="A32" s="5"/>
      <c r="B32" s="5"/>
      <c r="C32" t="s">
        <v>47</v>
      </c>
      <c r="D32" s="1">
        <v>1697978.5459296207</v>
      </c>
      <c r="J32" s="32"/>
      <c r="K32" s="20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x14ac:dyDescent="0.3">
      <c r="A33" s="5"/>
      <c r="B33" s="5"/>
      <c r="C33" t="s">
        <v>49</v>
      </c>
      <c r="D33" s="1">
        <v>1099687.4753496656</v>
      </c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x14ac:dyDescent="0.3">
      <c r="A34" s="5"/>
      <c r="B34" s="5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</row>
    <row r="35" spans="1:41" x14ac:dyDescent="0.3">
      <c r="A35" s="5"/>
      <c r="B35" s="5"/>
      <c r="C35" t="s">
        <v>51</v>
      </c>
      <c r="D35" s="1">
        <v>1279466.4549054161</v>
      </c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</row>
    <row r="36" spans="1:41" x14ac:dyDescent="0.3">
      <c r="A36" s="5"/>
      <c r="B36" s="5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</row>
    <row r="37" spans="1:41" x14ac:dyDescent="0.3">
      <c r="A37" s="5"/>
      <c r="B37" s="5"/>
      <c r="C37" s="22" t="s">
        <v>46</v>
      </c>
      <c r="D37" s="22"/>
      <c r="E37" s="22"/>
      <c r="F37" s="22"/>
      <c r="G37" s="22"/>
      <c r="H37" s="22"/>
      <c r="I37" s="22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</row>
    <row r="38" spans="1:41" ht="14.4" customHeight="1" x14ac:dyDescent="0.4">
      <c r="A38" s="5"/>
      <c r="B38" s="5"/>
      <c r="C38" t="s">
        <v>50</v>
      </c>
      <c r="D38" s="38">
        <v>14</v>
      </c>
      <c r="F38" s="19"/>
      <c r="I38" s="19" t="s">
        <v>66</v>
      </c>
      <c r="J38" t="s">
        <v>38</v>
      </c>
      <c r="K38" s="6"/>
      <c r="L38" s="6"/>
      <c r="M38" s="5"/>
      <c r="N38" s="50" t="s">
        <v>69</v>
      </c>
      <c r="O38" s="5"/>
      <c r="P38" s="5"/>
      <c r="Q38" s="50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</row>
    <row r="39" spans="1:41" ht="14.4" customHeight="1" x14ac:dyDescent="0.3">
      <c r="A39" s="5"/>
      <c r="B39" s="5"/>
      <c r="C39" t="s">
        <v>47</v>
      </c>
      <c r="D39" s="1">
        <v>2383480.7758731204</v>
      </c>
      <c r="K39" s="6"/>
      <c r="L39" s="6"/>
      <c r="M39" s="5"/>
      <c r="N39" s="5"/>
      <c r="O39" s="5"/>
      <c r="P39" s="5"/>
      <c r="Q39" s="52"/>
      <c r="R39" s="52" t="s">
        <v>70</v>
      </c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</row>
    <row r="40" spans="1:41" ht="14.4" customHeight="1" x14ac:dyDescent="0.3">
      <c r="A40" s="5"/>
      <c r="B40" s="5"/>
      <c r="C40" t="s">
        <v>49</v>
      </c>
      <c r="D40" s="1">
        <v>1543649.6316444124</v>
      </c>
      <c r="K40" s="6"/>
      <c r="L40" s="6"/>
      <c r="M40" s="5"/>
      <c r="N40" s="62" t="s">
        <v>68</v>
      </c>
      <c r="O40" s="63"/>
      <c r="P40" s="63"/>
      <c r="Q40" s="63"/>
      <c r="R40" s="63"/>
      <c r="S40" s="63"/>
      <c r="T40" s="63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</row>
    <row r="41" spans="1:41" x14ac:dyDescent="0.3">
      <c r="A41" s="5"/>
      <c r="B41" s="5"/>
      <c r="E41" s="38"/>
      <c r="K41" s="6"/>
      <c r="L41" s="6"/>
      <c r="M41" s="5"/>
      <c r="N41" s="62"/>
      <c r="O41" s="63"/>
      <c r="P41" s="63"/>
      <c r="Q41" s="63"/>
      <c r="R41" s="63"/>
      <c r="S41" s="63"/>
      <c r="T41" s="63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</row>
    <row r="42" spans="1:41" x14ac:dyDescent="0.3">
      <c r="A42" s="5"/>
      <c r="B42" s="5"/>
      <c r="C42" t="s">
        <v>51</v>
      </c>
      <c r="D42" s="1">
        <v>1723428.6112001629</v>
      </c>
      <c r="K42" s="6"/>
      <c r="L42" s="6"/>
      <c r="M42" s="5"/>
      <c r="N42" s="64" t="s">
        <v>13</v>
      </c>
      <c r="O42" s="53">
        <f>D50</f>
        <v>680.8095950098101</v>
      </c>
      <c r="P42" s="38">
        <f>Q42-2</f>
        <v>10</v>
      </c>
      <c r="Q42" s="38">
        <f>R42-2</f>
        <v>12</v>
      </c>
      <c r="R42" s="51">
        <v>14</v>
      </c>
      <c r="S42" s="38">
        <f>R42+2</f>
        <v>16</v>
      </c>
      <c r="T42" s="38">
        <f>S42+2</f>
        <v>18</v>
      </c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</row>
    <row r="43" spans="1:41" x14ac:dyDescent="0.3">
      <c r="A43" s="5"/>
      <c r="B43" s="5"/>
      <c r="K43" s="6"/>
      <c r="L43" s="6"/>
      <c r="M43" s="5"/>
      <c r="N43" s="65"/>
      <c r="O43" s="3">
        <f>O44+0.25%</f>
        <v>9.8300000000000012E-2</v>
      </c>
      <c r="P43" s="47">
        <v>492.29133259433206</v>
      </c>
      <c r="Q43" s="48">
        <v>575.35695546221541</v>
      </c>
      <c r="R43" s="48">
        <v>658.42257833009876</v>
      </c>
      <c r="S43" s="49">
        <v>741.48820119798199</v>
      </c>
      <c r="T43" s="49">
        <v>824.55382406586534</v>
      </c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</row>
    <row r="44" spans="1:41" x14ac:dyDescent="0.3">
      <c r="A44" s="5"/>
      <c r="B44" s="5"/>
      <c r="C44" s="22" t="s">
        <v>62</v>
      </c>
      <c r="D44" s="22"/>
      <c r="K44" s="6"/>
      <c r="L44" s="6"/>
      <c r="M44" s="5"/>
      <c r="N44" s="65"/>
      <c r="O44" s="3">
        <f>O45+0.25%</f>
        <v>9.580000000000001E-2</v>
      </c>
      <c r="P44" s="47">
        <v>497.71760506403768</v>
      </c>
      <c r="Q44" s="48">
        <v>581.73510677311685</v>
      </c>
      <c r="R44" s="48">
        <v>665.75260848219614</v>
      </c>
      <c r="S44" s="49">
        <v>749.77011019127531</v>
      </c>
      <c r="T44" s="49">
        <v>833.78761190035459</v>
      </c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</row>
    <row r="45" spans="1:41" x14ac:dyDescent="0.3">
      <c r="A45" s="5"/>
      <c r="B45" s="5"/>
      <c r="C45" t="s">
        <v>63</v>
      </c>
      <c r="D45" s="1">
        <v>1723428.6112001629</v>
      </c>
      <c r="K45" s="6"/>
      <c r="L45" s="6"/>
      <c r="M45" s="5"/>
      <c r="N45" s="65"/>
      <c r="O45" s="3">
        <f>O46+0.25%</f>
        <v>9.3300000000000008E-2</v>
      </c>
      <c r="P45" s="47">
        <v>503.21755479149272</v>
      </c>
      <c r="Q45" s="48">
        <v>588.20005489337848</v>
      </c>
      <c r="R45" s="48">
        <v>673.18255499526424</v>
      </c>
      <c r="S45" s="49">
        <v>758.16505509714989</v>
      </c>
      <c r="T45" s="49">
        <v>843.14755519903565</v>
      </c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</row>
    <row r="46" spans="1:41" x14ac:dyDescent="0.3">
      <c r="A46" s="5"/>
      <c r="B46" s="5" t="s">
        <v>17</v>
      </c>
      <c r="C46" t="s">
        <v>2</v>
      </c>
      <c r="D46" s="1">
        <v>81592</v>
      </c>
      <c r="K46" s="6"/>
      <c r="L46" s="6"/>
      <c r="M46" s="5"/>
      <c r="N46" s="65"/>
      <c r="O46" s="27">
        <v>9.0800000000000006E-2</v>
      </c>
      <c r="P46" s="47">
        <v>508.79235751455076</v>
      </c>
      <c r="Q46" s="48">
        <v>594.75318700765172</v>
      </c>
      <c r="R46" s="67">
        <v>680.71401650075256</v>
      </c>
      <c r="S46" s="49">
        <v>766.67484599385341</v>
      </c>
      <c r="T46" s="49">
        <v>852.63567548695426</v>
      </c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</row>
    <row r="47" spans="1:41" x14ac:dyDescent="0.3">
      <c r="A47" s="5"/>
      <c r="B47" s="5" t="s">
        <v>16</v>
      </c>
      <c r="C47" t="s">
        <v>3</v>
      </c>
      <c r="D47" s="1">
        <v>58744</v>
      </c>
      <c r="K47" s="6"/>
      <c r="L47" s="6"/>
      <c r="M47" s="5"/>
      <c r="N47" s="65"/>
      <c r="O47" s="3">
        <f>O46-0.25%</f>
        <v>8.8300000000000003E-2</v>
      </c>
      <c r="P47" s="47">
        <v>514.44321052768521</v>
      </c>
      <c r="Q47" s="48">
        <v>601.39591576089958</v>
      </c>
      <c r="R47" s="48">
        <v>688.34862099411407</v>
      </c>
      <c r="S47" s="49">
        <v>775.30132622732833</v>
      </c>
      <c r="T47" s="49">
        <v>862.25403146054271</v>
      </c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</row>
    <row r="48" spans="1:41" x14ac:dyDescent="0.3">
      <c r="A48" s="5"/>
      <c r="B48" s="5"/>
      <c r="C48" t="s">
        <v>15</v>
      </c>
      <c r="D48" s="1">
        <v>1746276.6112001629</v>
      </c>
      <c r="K48" s="6"/>
      <c r="L48" s="6"/>
      <c r="M48" s="5"/>
      <c r="N48" s="65"/>
      <c r="O48" s="3">
        <f>O47-0.25%</f>
        <v>8.5800000000000001E-2</v>
      </c>
      <c r="P48" s="47">
        <v>520.17133312847045</v>
      </c>
      <c r="Q48" s="48">
        <v>608.12967978614324</v>
      </c>
      <c r="R48" s="48">
        <v>696.08802644381603</v>
      </c>
      <c r="S48" s="49">
        <v>784.04637310148883</v>
      </c>
      <c r="T48" s="49">
        <v>872.00471975916173</v>
      </c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</row>
    <row r="49" spans="1:41" x14ac:dyDescent="0.3">
      <c r="A49" s="5"/>
      <c r="B49" s="5" t="s">
        <v>64</v>
      </c>
      <c r="C49" t="s">
        <v>30</v>
      </c>
      <c r="D49" s="1">
        <v>2565</v>
      </c>
      <c r="K49" s="6"/>
      <c r="L49" s="6"/>
      <c r="M49" s="5"/>
      <c r="N49" s="66"/>
      <c r="O49" s="3">
        <f>O48-0.25%</f>
        <v>8.3299999999999999E-2</v>
      </c>
      <c r="P49" s="47">
        <v>525.9779670743784</v>
      </c>
      <c r="Q49" s="48">
        <v>614.95594424440731</v>
      </c>
      <c r="R49" s="48">
        <v>703.93392141443621</v>
      </c>
      <c r="S49" s="49">
        <v>792.91189858446501</v>
      </c>
      <c r="T49" s="49">
        <v>881.88987575449403</v>
      </c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</row>
    <row r="50" spans="1:41" x14ac:dyDescent="0.3">
      <c r="A50" s="5"/>
      <c r="B50" s="5"/>
      <c r="C50" t="s">
        <v>65</v>
      </c>
      <c r="D50" s="16">
        <v>680.8095950098101</v>
      </c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</row>
    <row r="51" spans="1:41" x14ac:dyDescent="0.3">
      <c r="A51" s="5"/>
      <c r="B51" s="5"/>
      <c r="D51" s="1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</row>
    <row r="52" spans="1:41" x14ac:dyDescent="0.3">
      <c r="A52" s="5"/>
      <c r="B52" s="5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</row>
    <row r="53" spans="1:41" x14ac:dyDescent="0.3">
      <c r="A53" s="5"/>
      <c r="B53" s="5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</row>
    <row r="54" spans="1:41" x14ac:dyDescent="0.3">
      <c r="A54" s="5"/>
      <c r="B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</row>
    <row r="55" spans="1:41" x14ac:dyDescent="0.3">
      <c r="A55" s="5"/>
      <c r="B55" s="5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</row>
    <row r="56" spans="1:41" x14ac:dyDescent="0.3">
      <c r="A56" s="5"/>
      <c r="B56" s="5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</row>
    <row r="57" spans="1:41" ht="4.2" customHeight="1" x14ac:dyDescent="0.3">
      <c r="A57" s="5"/>
      <c r="B57" s="5"/>
      <c r="C57" s="11"/>
      <c r="D57" s="11"/>
      <c r="E57" s="11"/>
      <c r="F57" s="11"/>
      <c r="G57" s="11"/>
      <c r="H57" s="11"/>
      <c r="I57" s="11"/>
      <c r="J57" s="11"/>
      <c r="K57" s="11"/>
      <c r="L57" s="1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</row>
    <row r="58" spans="1:41" x14ac:dyDescent="0.3">
      <c r="A58" s="5"/>
      <c r="B58" s="5"/>
      <c r="C58" s="10"/>
      <c r="D58" s="10"/>
      <c r="E58" s="10"/>
      <c r="F58" s="10"/>
      <c r="G58" s="10"/>
      <c r="H58" s="10"/>
      <c r="I58" s="10"/>
      <c r="J58" s="10"/>
      <c r="K58" s="5"/>
      <c r="L58" s="10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</row>
    <row r="59" spans="1:41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</row>
    <row r="60" spans="1:4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</row>
    <row r="61" spans="1:41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</row>
    <row r="62" spans="1:4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</row>
    <row r="63" spans="1:41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</row>
    <row r="64" spans="1:4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</row>
    <row r="65" spans="1:41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</row>
    <row r="66" spans="1:4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</row>
    <row r="67" spans="1:41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</row>
    <row r="68" spans="1:4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</row>
    <row r="69" spans="1:41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</row>
    <row r="70" spans="1:4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</row>
    <row r="71" spans="1:41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</row>
    <row r="72" spans="1:4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</row>
    <row r="73" spans="1:41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</row>
    <row r="74" spans="1:4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</row>
    <row r="75" spans="1:41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</row>
    <row r="76" spans="1:4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</row>
    <row r="77" spans="1:41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</row>
    <row r="78" spans="1:4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</row>
    <row r="79" spans="1:4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</row>
    <row r="80" spans="1:4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</row>
    <row r="81" spans="1:41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</row>
    <row r="82" spans="1:4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</row>
    <row r="83" spans="1:41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</row>
    <row r="84" spans="1:4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</row>
    <row r="85" spans="1:41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</row>
    <row r="86" spans="1:4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</row>
    <row r="87" spans="1:41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</row>
    <row r="88" spans="1:4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</row>
    <row r="89" spans="1:41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</row>
    <row r="90" spans="1:4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</row>
    <row r="91" spans="1:41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</row>
    <row r="92" spans="1:4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</row>
    <row r="93" spans="1:41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</row>
    <row r="94" spans="1:4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</row>
    <row r="95" spans="1:41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</row>
    <row r="96" spans="1:4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</row>
    <row r="97" spans="1:41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</row>
    <row r="98" spans="1:4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</row>
    <row r="99" spans="1:4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</row>
    <row r="100" spans="1:4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</row>
    <row r="101" spans="1:4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</row>
    <row r="102" spans="1:4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</row>
    <row r="103" spans="1:4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</row>
    <row r="104" spans="1:4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</row>
    <row r="105" spans="1:4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</row>
    <row r="106" spans="1:4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</row>
    <row r="107" spans="1:4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</row>
    <row r="108" spans="1:4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</row>
    <row r="109" spans="1:4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</row>
    <row r="110" spans="1:4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</row>
    <row r="111" spans="1:4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</row>
    <row r="112" spans="1:4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</row>
    <row r="113" spans="1:4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</row>
    <row r="114" spans="1:4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</row>
    <row r="115" spans="1:4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</row>
    <row r="116" spans="1:4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</row>
    <row r="117" spans="1:4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</row>
    <row r="118" spans="1:4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</row>
    <row r="119" spans="1:4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</row>
    <row r="120" spans="1:4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</row>
    <row r="121" spans="1:4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</row>
    <row r="122" spans="1:4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</row>
    <row r="123" spans="1:4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</row>
    <row r="124" spans="1:4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</row>
    <row r="125" spans="1:4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</row>
    <row r="126" spans="1:4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</row>
    <row r="127" spans="1:4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</row>
    <row r="128" spans="1:4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</row>
    <row r="129" spans="1:4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</row>
    <row r="130" spans="1:4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</row>
    <row r="131" spans="1:4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</row>
    <row r="132" spans="1:4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</row>
    <row r="133" spans="1:4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</row>
    <row r="134" spans="1:4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</row>
    <row r="135" spans="1:4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</row>
    <row r="136" spans="1:4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</row>
    <row r="137" spans="1:4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</row>
    <row r="138" spans="1:4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</row>
    <row r="139" spans="1:4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</row>
    <row r="140" spans="1:4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</row>
    <row r="141" spans="1:4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</row>
    <row r="142" spans="1:4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</row>
    <row r="143" spans="1:4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</row>
    <row r="144" spans="1:4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</row>
    <row r="145" spans="1:4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</row>
    <row r="146" spans="1:4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</row>
    <row r="147" spans="1:4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</row>
    <row r="148" spans="1:4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</row>
    <row r="149" spans="1:4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</row>
    <row r="150" spans="1:4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</row>
    <row r="151" spans="1:4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</row>
    <row r="152" spans="1:4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</row>
    <row r="153" spans="1:4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</row>
    <row r="154" spans="1:4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</row>
    <row r="155" spans="1:4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</row>
    <row r="156" spans="1:4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</row>
    <row r="157" spans="1:4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</row>
    <row r="158" spans="1:4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</row>
    <row r="159" spans="1:4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</row>
    <row r="160" spans="1:4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</row>
    <row r="161" spans="1:4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</row>
    <row r="162" spans="1:4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</row>
    <row r="163" spans="1:4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</row>
    <row r="164" spans="1:4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 spans="1:4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 spans="1:4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 spans="1:4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 spans="1:4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</sheetData>
  <mergeCells count="2">
    <mergeCell ref="N40:T41"/>
    <mergeCell ref="N42:N49"/>
  </mergeCells>
  <hyperlinks>
    <hyperlink ref="I38" r:id="rId1" xr:uid="{88C901DC-E486-4890-9947-48E3818B26F7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2912-0DA4-45D3-9E47-3B95525D8BA1}">
  <dimension ref="A1:AV176"/>
  <sheetViews>
    <sheetView workbookViewId="0">
      <selection activeCell="P29" sqref="P29"/>
    </sheetView>
  </sheetViews>
  <sheetFormatPr defaultRowHeight="14.4" x14ac:dyDescent="0.3"/>
  <cols>
    <col min="3" max="3" width="27" customWidth="1"/>
    <col min="4" max="5" width="10.109375" bestFit="1" customWidth="1"/>
    <col min="6" max="6" width="10.109375" customWidth="1"/>
    <col min="7" max="7" width="1.5546875" customWidth="1"/>
    <col min="8" max="8" width="1" customWidth="1"/>
  </cols>
  <sheetData>
    <row r="1" spans="1:48" x14ac:dyDescent="0.3">
      <c r="A1" s="8"/>
      <c r="B1" s="8"/>
      <c r="C1" s="8"/>
      <c r="D1" s="8"/>
      <c r="E1" s="8"/>
      <c r="F1" s="8"/>
      <c r="G1" s="6"/>
      <c r="H1" s="6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</row>
    <row r="2" spans="1:48" x14ac:dyDescent="0.3">
      <c r="A2" s="9" t="s">
        <v>13</v>
      </c>
      <c r="B2" s="5"/>
      <c r="G2" s="6"/>
      <c r="H2" s="6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</row>
    <row r="3" spans="1:48" x14ac:dyDescent="0.3">
      <c r="A3" s="5"/>
      <c r="B3" s="5"/>
      <c r="G3" s="6"/>
      <c r="H3" s="6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pans="1:48" x14ac:dyDescent="0.3">
      <c r="A4" s="14"/>
      <c r="B4" s="5"/>
      <c r="D4" s="14"/>
      <c r="G4" s="6"/>
      <c r="H4" s="6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spans="1:48" x14ac:dyDescent="0.3">
      <c r="A5" s="5"/>
      <c r="B5" s="5"/>
      <c r="G5" s="6"/>
      <c r="H5" s="6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</row>
    <row r="6" spans="1:48" x14ac:dyDescent="0.3">
      <c r="A6" s="5"/>
      <c r="B6" s="5"/>
      <c r="G6" s="6"/>
      <c r="H6" s="6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spans="1:48" x14ac:dyDescent="0.3">
      <c r="A7" s="8"/>
      <c r="B7" s="7"/>
      <c r="C7" s="7"/>
      <c r="D7" s="7"/>
      <c r="E7" s="7"/>
      <c r="F7" s="7"/>
      <c r="G7" s="6"/>
      <c r="H7" s="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</row>
    <row r="8" spans="1:48" x14ac:dyDescent="0.3">
      <c r="A8" s="5"/>
      <c r="B8" s="5"/>
      <c r="G8" s="6"/>
      <c r="H8" s="6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</row>
    <row r="9" spans="1:48" x14ac:dyDescent="0.3">
      <c r="A9" s="5"/>
      <c r="B9" s="5"/>
      <c r="G9" s="6"/>
      <c r="H9" s="6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</row>
    <row r="10" spans="1:48" x14ac:dyDescent="0.3">
      <c r="A10" s="5"/>
      <c r="B10" s="24"/>
      <c r="C10" s="42" t="s">
        <v>18</v>
      </c>
      <c r="D10" s="39"/>
      <c r="G10" s="6"/>
      <c r="H10" s="6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</row>
    <row r="11" spans="1:48" x14ac:dyDescent="0.3">
      <c r="A11" s="5"/>
      <c r="B11" s="24"/>
      <c r="C11" s="43" t="s">
        <v>1</v>
      </c>
      <c r="D11" s="1">
        <v>1639035</v>
      </c>
      <c r="E11" s="1"/>
      <c r="G11" s="6"/>
      <c r="H11" s="6"/>
      <c r="I11" s="5"/>
      <c r="J11" s="40"/>
      <c r="K11" s="18"/>
      <c r="L11" s="18"/>
      <c r="M11" s="41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</row>
    <row r="12" spans="1:48" x14ac:dyDescent="0.3">
      <c r="B12" s="24"/>
      <c r="C12" s="43" t="s">
        <v>3</v>
      </c>
      <c r="D12" s="1">
        <v>58744</v>
      </c>
      <c r="E12" s="1"/>
      <c r="G12" s="6"/>
      <c r="H12" s="6"/>
      <c r="I12" s="5"/>
      <c r="J12" s="40"/>
      <c r="K12" s="18"/>
      <c r="L12" s="18"/>
      <c r="M12" s="41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</row>
    <row r="13" spans="1:48" x14ac:dyDescent="0.3">
      <c r="A13" s="5"/>
      <c r="B13" s="24"/>
      <c r="C13" s="44" t="s">
        <v>31</v>
      </c>
      <c r="D13" s="4">
        <v>1697779</v>
      </c>
      <c r="E13" s="1"/>
      <c r="G13" s="6"/>
      <c r="H13" s="6"/>
      <c r="I13" s="5"/>
      <c r="J13" s="40"/>
      <c r="K13" s="18"/>
      <c r="L13" s="18"/>
      <c r="M13" s="41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</row>
    <row r="14" spans="1:48" x14ac:dyDescent="0.3">
      <c r="A14" s="5"/>
      <c r="B14" s="24"/>
      <c r="C14" s="44" t="s">
        <v>32</v>
      </c>
      <c r="D14" s="27">
        <v>0.96539950134852648</v>
      </c>
      <c r="E14" s="1"/>
      <c r="G14" s="6"/>
      <c r="H14" s="6"/>
      <c r="I14" s="5"/>
      <c r="J14" s="40"/>
      <c r="K14" s="18"/>
      <c r="L14" s="18"/>
      <c r="M14" s="41"/>
      <c r="N14" s="5"/>
      <c r="O14" s="5"/>
      <c r="P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</row>
    <row r="15" spans="1:48" x14ac:dyDescent="0.3">
      <c r="A15" s="5"/>
      <c r="B15" s="24"/>
      <c r="C15" s="44" t="s">
        <v>33</v>
      </c>
      <c r="D15" s="27">
        <v>3.4600498651473487E-2</v>
      </c>
      <c r="E15" s="3"/>
      <c r="G15" s="6"/>
      <c r="H15" s="6"/>
      <c r="I15" s="5"/>
      <c r="J15" s="31"/>
      <c r="K15" s="18"/>
      <c r="L15" s="18"/>
      <c r="M15" s="41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</row>
    <row r="16" spans="1:48" x14ac:dyDescent="0.3">
      <c r="A16" s="5"/>
      <c r="B16" s="24"/>
      <c r="C16" s="43" t="s">
        <v>34</v>
      </c>
      <c r="D16" s="3">
        <v>4.2799999999999998E-2</v>
      </c>
      <c r="G16" s="6"/>
      <c r="H16" s="6"/>
      <c r="I16" s="5"/>
      <c r="J16" s="18"/>
      <c r="K16" s="18"/>
      <c r="L16" s="18"/>
      <c r="M16" s="41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</row>
    <row r="17" spans="1:48" x14ac:dyDescent="0.3">
      <c r="A17" s="5"/>
      <c r="B17" s="24"/>
      <c r="C17" s="43" t="s">
        <v>20</v>
      </c>
      <c r="D17" s="2">
        <v>1.2</v>
      </c>
      <c r="G17" s="6"/>
      <c r="H17" s="6"/>
      <c r="I17" s="5"/>
      <c r="J17" s="18"/>
      <c r="K17" s="18"/>
      <c r="L17" s="18"/>
      <c r="M17" s="41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 x14ac:dyDescent="0.3">
      <c r="A18" s="5"/>
      <c r="B18" s="24"/>
      <c r="C18" s="43" t="s">
        <v>35</v>
      </c>
      <c r="D18" s="3">
        <v>4.1799999999999997E-2</v>
      </c>
      <c r="E18" t="s">
        <v>36</v>
      </c>
      <c r="F18" t="s">
        <v>38</v>
      </c>
      <c r="G18" s="6"/>
      <c r="H18" s="6"/>
      <c r="I18" s="5"/>
      <c r="J18" s="18"/>
      <c r="K18" s="18"/>
      <c r="L18" s="18"/>
      <c r="M18" s="41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 x14ac:dyDescent="0.3">
      <c r="A19" s="5"/>
      <c r="B19" s="24"/>
      <c r="C19" s="44" t="s">
        <v>19</v>
      </c>
      <c r="D19" s="27">
        <v>9.2959999999999987E-2</v>
      </c>
      <c r="G19" s="6"/>
      <c r="H19" s="6"/>
      <c r="I19" s="5"/>
      <c r="J19" s="18"/>
      <c r="K19" s="18"/>
      <c r="L19" s="18"/>
      <c r="M19" s="41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</row>
    <row r="20" spans="1:48" x14ac:dyDescent="0.3">
      <c r="A20" s="5"/>
      <c r="B20" s="24"/>
      <c r="C20" s="43" t="s">
        <v>56</v>
      </c>
      <c r="D20" s="27">
        <v>4.1000000000000002E-2</v>
      </c>
      <c r="E20" t="s">
        <v>57</v>
      </c>
      <c r="F20" t="s">
        <v>38</v>
      </c>
      <c r="G20" s="6"/>
      <c r="H20" s="6"/>
      <c r="I20" s="5"/>
      <c r="J20" s="18"/>
      <c r="K20" s="18"/>
      <c r="L20" s="18"/>
      <c r="M20" s="41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</row>
    <row r="21" spans="1:48" x14ac:dyDescent="0.3">
      <c r="A21" s="5"/>
      <c r="B21" s="24"/>
      <c r="C21" s="44" t="s">
        <v>21</v>
      </c>
      <c r="D21" s="27">
        <v>3.4849999999999999E-2</v>
      </c>
      <c r="G21" s="6"/>
      <c r="H21" s="6"/>
      <c r="I21" s="5"/>
      <c r="J21" s="18"/>
      <c r="K21" s="18"/>
      <c r="L21" s="18"/>
      <c r="M21" s="41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</row>
    <row r="22" spans="1:48" x14ac:dyDescent="0.3">
      <c r="A22" s="5"/>
      <c r="B22" s="24"/>
      <c r="C22" s="43" t="s">
        <v>22</v>
      </c>
      <c r="D22" s="3">
        <v>0.15</v>
      </c>
      <c r="G22" s="6"/>
      <c r="H22" s="6"/>
      <c r="I22" s="5"/>
      <c r="J22" s="18"/>
      <c r="K22" s="18"/>
      <c r="L22" s="18"/>
      <c r="M22" s="41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</row>
    <row r="23" spans="1:48" x14ac:dyDescent="0.3">
      <c r="A23" s="5"/>
      <c r="B23" s="24"/>
      <c r="C23" s="45" t="s">
        <v>13</v>
      </c>
      <c r="D23" s="34">
        <v>9.0768490916662281E-2</v>
      </c>
      <c r="G23" s="6"/>
      <c r="H23" s="6"/>
      <c r="I23" s="5"/>
      <c r="J23" s="18"/>
      <c r="K23" s="18"/>
      <c r="L23" s="18"/>
      <c r="M23" s="41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</row>
    <row r="24" spans="1:48" x14ac:dyDescent="0.3">
      <c r="A24" s="5"/>
      <c r="B24" s="24"/>
      <c r="C24" s="29"/>
      <c r="D24" s="23"/>
      <c r="G24" s="6"/>
      <c r="H24" s="6"/>
      <c r="I24" s="5"/>
      <c r="J24" s="41"/>
      <c r="K24" s="41"/>
      <c r="L24" s="41"/>
      <c r="M24" s="41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</row>
    <row r="25" spans="1:48" x14ac:dyDescent="0.3">
      <c r="A25" s="28"/>
      <c r="B25" s="24"/>
      <c r="C25" s="30"/>
      <c r="G25" s="6"/>
      <c r="H25" s="6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</row>
    <row r="26" spans="1:48" x14ac:dyDescent="0.3">
      <c r="A26" s="5"/>
      <c r="B26" s="5"/>
      <c r="G26" s="6"/>
      <c r="H26" s="6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</row>
    <row r="27" spans="1:48" x14ac:dyDescent="0.3">
      <c r="A27" s="5"/>
      <c r="B27" s="5"/>
      <c r="G27" s="6"/>
      <c r="H27" s="6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</row>
    <row r="28" spans="1:48" ht="6" customHeight="1" x14ac:dyDescent="0.3">
      <c r="A28" s="5"/>
      <c r="B28" s="5"/>
      <c r="C28" s="11"/>
      <c r="D28" s="11"/>
      <c r="E28" s="11"/>
      <c r="F28" s="11"/>
      <c r="G28" s="11"/>
      <c r="H28" s="12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</row>
    <row r="29" spans="1:48" x14ac:dyDescent="0.3">
      <c r="A29" s="5"/>
      <c r="B29" s="5"/>
      <c r="C29" s="10"/>
      <c r="D29" s="10"/>
      <c r="E29" s="10"/>
      <c r="F29" s="10"/>
      <c r="G29" s="5"/>
      <c r="H29" s="10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</row>
    <row r="30" spans="1:48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</row>
    <row r="31" spans="1:48" x14ac:dyDescent="0.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</row>
    <row r="32" spans="1:48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</row>
    <row r="33" spans="1:48" x14ac:dyDescent="0.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</row>
    <row r="34" spans="1:48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</row>
    <row r="35" spans="1:48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</row>
    <row r="36" spans="1:48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</row>
    <row r="37" spans="1:48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</row>
    <row r="38" spans="1:48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</row>
    <row r="39" spans="1:48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</row>
    <row r="40" spans="1:48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</row>
    <row r="41" spans="1:48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</row>
    <row r="42" spans="1:48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</row>
    <row r="43" spans="1:48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</row>
    <row r="44" spans="1:48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</row>
    <row r="45" spans="1:48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</row>
    <row r="46" spans="1:48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</row>
    <row r="47" spans="1:48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</row>
    <row r="48" spans="1:48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</row>
    <row r="49" spans="1:48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</row>
    <row r="50" spans="1:48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</row>
    <row r="51" spans="1:48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</row>
    <row r="52" spans="1:48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</row>
    <row r="53" spans="1:48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</row>
    <row r="54" spans="1:48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</row>
    <row r="55" spans="1:48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</row>
    <row r="56" spans="1:48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</row>
    <row r="57" spans="1:48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</row>
    <row r="58" spans="1:48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</row>
    <row r="59" spans="1:48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</row>
    <row r="60" spans="1:48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</row>
    <row r="61" spans="1:48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</row>
    <row r="62" spans="1:48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</row>
    <row r="63" spans="1:48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</row>
    <row r="64" spans="1:48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</row>
    <row r="65" spans="1:48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</row>
    <row r="66" spans="1:48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</row>
    <row r="67" spans="1:48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</row>
    <row r="68" spans="1:48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</row>
    <row r="69" spans="1:48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</row>
    <row r="70" spans="1:48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</row>
    <row r="71" spans="1:48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</row>
    <row r="72" spans="1:48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</row>
    <row r="73" spans="1:48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</row>
    <row r="74" spans="1:48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</row>
    <row r="75" spans="1:48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</row>
    <row r="76" spans="1:48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</row>
    <row r="77" spans="1:48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</row>
    <row r="78" spans="1:48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</row>
    <row r="79" spans="1:48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</row>
    <row r="80" spans="1:48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</row>
    <row r="81" spans="1:48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</row>
    <row r="82" spans="1:48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</row>
    <row r="83" spans="1:48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</row>
    <row r="84" spans="1:48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</row>
    <row r="85" spans="1:48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</row>
    <row r="86" spans="1:48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</row>
    <row r="87" spans="1:48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</row>
    <row r="88" spans="1:48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</row>
    <row r="89" spans="1:48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</row>
    <row r="90" spans="1:48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</row>
    <row r="91" spans="1:48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</row>
    <row r="92" spans="1:48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</row>
    <row r="93" spans="1:48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</row>
    <row r="94" spans="1:48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</row>
    <row r="95" spans="1:48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</row>
    <row r="96" spans="1:48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</row>
    <row r="97" spans="1:48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</row>
    <row r="98" spans="1:48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</row>
    <row r="99" spans="1:48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</row>
    <row r="100" spans="1:48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</row>
    <row r="101" spans="1:48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</row>
    <row r="102" spans="1:48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</row>
    <row r="103" spans="1:48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</row>
    <row r="104" spans="1:48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</row>
    <row r="105" spans="1:48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</row>
    <row r="106" spans="1:48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</row>
    <row r="107" spans="1:48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</row>
    <row r="108" spans="1:48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</row>
    <row r="109" spans="1:48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</row>
    <row r="110" spans="1:48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</row>
    <row r="111" spans="1:48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</row>
    <row r="112" spans="1:48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</row>
    <row r="113" spans="1:48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</row>
    <row r="114" spans="1:48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</row>
    <row r="115" spans="1:48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</row>
    <row r="116" spans="1:48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</row>
    <row r="117" spans="1:48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</row>
    <row r="118" spans="1:48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</row>
    <row r="119" spans="1:48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</row>
    <row r="120" spans="1:48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</row>
    <row r="121" spans="1:48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</row>
    <row r="122" spans="1:48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</row>
    <row r="123" spans="1:48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</row>
    <row r="124" spans="1:48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</row>
    <row r="125" spans="1:48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</row>
    <row r="126" spans="1:48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</row>
    <row r="127" spans="1:48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</row>
    <row r="128" spans="1:48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</row>
    <row r="129" spans="1:48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</row>
    <row r="130" spans="1:48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</row>
    <row r="131" spans="1:48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</row>
    <row r="132" spans="1:48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</row>
    <row r="133" spans="1:48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</row>
    <row r="134" spans="1:48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</row>
    <row r="135" spans="1:48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</row>
    <row r="136" spans="1:48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</row>
    <row r="137" spans="1:48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</row>
    <row r="138" spans="1:48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</row>
    <row r="139" spans="1:48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</row>
    <row r="140" spans="1:48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</row>
    <row r="141" spans="1:48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</row>
    <row r="142" spans="1:48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</row>
    <row r="143" spans="1:48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</row>
    <row r="144" spans="1:48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</row>
    <row r="145" spans="1:48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</row>
    <row r="146" spans="1:48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</row>
    <row r="147" spans="1:48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</row>
    <row r="148" spans="1:48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</row>
    <row r="149" spans="1:48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</row>
    <row r="150" spans="1:48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</row>
    <row r="151" spans="1:48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</row>
    <row r="152" spans="1:48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</row>
    <row r="153" spans="1:48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</row>
    <row r="154" spans="1:48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</row>
    <row r="155" spans="1:48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</row>
    <row r="156" spans="1:48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</row>
    <row r="157" spans="1:48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</row>
    <row r="158" spans="1:48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</row>
    <row r="159" spans="1:48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</row>
    <row r="160" spans="1:48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</row>
    <row r="161" spans="1:48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</row>
    <row r="162" spans="1:48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</row>
    <row r="163" spans="1:48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</row>
    <row r="164" spans="1:48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</row>
    <row r="165" spans="1:48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</row>
    <row r="166" spans="1:48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</row>
    <row r="167" spans="1:48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</row>
    <row r="168" spans="1:48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</row>
    <row r="169" spans="1:48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</row>
    <row r="170" spans="1:48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</row>
    <row r="171" spans="1:48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</row>
    <row r="172" spans="1:48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</row>
    <row r="173" spans="1:48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</row>
    <row r="174" spans="1:48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</row>
    <row r="175" spans="1:48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</row>
    <row r="176" spans="1:48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32483-5830-46A3-B1E7-51A55C6C9778}">
  <dimension ref="A1:BX180"/>
  <sheetViews>
    <sheetView workbookViewId="0">
      <selection activeCell="K41" sqref="K41"/>
    </sheetView>
  </sheetViews>
  <sheetFormatPr defaultRowHeight="14.4" x14ac:dyDescent="0.3"/>
  <cols>
    <col min="3" max="3" width="22.6640625" customWidth="1"/>
    <col min="4" max="4" width="9.6640625" hidden="1" customWidth="1"/>
    <col min="5" max="11" width="9.6640625" customWidth="1"/>
    <col min="12" max="12" width="1.5546875" customWidth="1"/>
    <col min="13" max="13" width="1" customWidth="1"/>
  </cols>
  <sheetData>
    <row r="1" spans="1:76" x14ac:dyDescent="0.3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6"/>
      <c r="M1" s="6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</row>
    <row r="2" spans="1:76" x14ac:dyDescent="0.3">
      <c r="A2" s="59" t="s">
        <v>37</v>
      </c>
      <c r="B2" s="58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</row>
    <row r="3" spans="1:76" x14ac:dyDescent="0.3">
      <c r="A3" s="58"/>
      <c r="B3" s="58"/>
      <c r="C3" t="s">
        <v>84</v>
      </c>
      <c r="L3" s="6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</row>
    <row r="4" spans="1:76" x14ac:dyDescent="0.3">
      <c r="A4" s="58"/>
      <c r="B4" s="58"/>
      <c r="L4" s="6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</row>
    <row r="5" spans="1:76" x14ac:dyDescent="0.3">
      <c r="A5" s="10"/>
      <c r="B5" s="5"/>
      <c r="C5" s="17"/>
      <c r="G5" s="19"/>
      <c r="H5" s="19"/>
      <c r="I5" s="19"/>
      <c r="L5" s="6"/>
      <c r="M5" s="6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1:76" x14ac:dyDescent="0.3">
      <c r="A6" s="14"/>
      <c r="B6" s="5"/>
      <c r="E6" s="14"/>
      <c r="F6" s="14"/>
      <c r="G6" s="14"/>
      <c r="H6" s="14"/>
      <c r="I6" s="14"/>
      <c r="J6" s="14"/>
      <c r="L6" s="6"/>
      <c r="M6" s="6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</row>
    <row r="7" spans="1:76" x14ac:dyDescent="0.3">
      <c r="A7" s="8"/>
      <c r="B7" s="8"/>
      <c r="C7" s="8" t="s">
        <v>76</v>
      </c>
      <c r="D7" s="8"/>
      <c r="E7" s="8"/>
      <c r="F7" s="8"/>
      <c r="G7" s="8"/>
      <c r="H7" s="8"/>
      <c r="I7" s="8"/>
      <c r="J7" s="8" t="s">
        <v>39</v>
      </c>
      <c r="K7" s="8"/>
      <c r="L7" s="6"/>
      <c r="M7" s="6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</row>
    <row r="8" spans="1:76" x14ac:dyDescent="0.3">
      <c r="A8" s="5"/>
      <c r="B8" s="5"/>
      <c r="D8" s="17" t="s">
        <v>59</v>
      </c>
      <c r="E8" s="17" t="s">
        <v>6</v>
      </c>
      <c r="F8" s="17" t="s">
        <v>8</v>
      </c>
      <c r="G8" s="17" t="s">
        <v>9</v>
      </c>
      <c r="H8" s="17" t="s">
        <v>24</v>
      </c>
      <c r="I8" s="17" t="s">
        <v>25</v>
      </c>
      <c r="J8" s="17"/>
      <c r="K8" s="17"/>
      <c r="L8" s="6"/>
      <c r="M8" s="6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</row>
    <row r="9" spans="1:76" x14ac:dyDescent="0.3">
      <c r="A9" s="61"/>
      <c r="B9" s="5"/>
      <c r="D9" s="17"/>
      <c r="E9" s="19"/>
      <c r="L9" s="6"/>
      <c r="M9" s="6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</row>
    <row r="10" spans="1:76" x14ac:dyDescent="0.3">
      <c r="A10" s="13" t="s">
        <v>77</v>
      </c>
      <c r="B10" s="5"/>
      <c r="C10" t="s">
        <v>4</v>
      </c>
      <c r="D10" s="17"/>
      <c r="E10" s="54">
        <v>241158</v>
      </c>
      <c r="F10" s="54">
        <v>277331.69999999995</v>
      </c>
      <c r="G10" s="54">
        <v>305064.87</v>
      </c>
      <c r="H10" s="54">
        <v>329470.05960000004</v>
      </c>
      <c r="I10" s="54">
        <v>349238.26317600004</v>
      </c>
      <c r="L10" s="6"/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</row>
    <row r="11" spans="1:76" x14ac:dyDescent="0.3">
      <c r="A11" s="61"/>
      <c r="B11" s="5"/>
      <c r="C11" t="s">
        <v>75</v>
      </c>
      <c r="D11" s="17"/>
      <c r="E11" s="55">
        <v>0.2</v>
      </c>
      <c r="F11" s="55">
        <v>0.15</v>
      </c>
      <c r="G11" s="55">
        <v>0.1</v>
      </c>
      <c r="H11" s="55">
        <v>0.08</v>
      </c>
      <c r="I11" s="55">
        <v>0.06</v>
      </c>
      <c r="J11" t="s">
        <v>40</v>
      </c>
      <c r="K11" t="s">
        <v>38</v>
      </c>
      <c r="L11" s="6"/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</row>
    <row r="12" spans="1:76" x14ac:dyDescent="0.3">
      <c r="A12" s="61"/>
      <c r="B12" s="5"/>
      <c r="D12" s="17"/>
      <c r="E12" s="56"/>
      <c r="F12" s="57"/>
      <c r="G12" s="57"/>
      <c r="H12" s="57"/>
      <c r="I12" s="57"/>
      <c r="L12" s="6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</row>
    <row r="13" spans="1:76" x14ac:dyDescent="0.3">
      <c r="A13" s="61"/>
      <c r="B13" s="5"/>
      <c r="C13" t="s">
        <v>60</v>
      </c>
      <c r="D13" s="3"/>
      <c r="E13" s="3">
        <v>2.5000000000000001E-2</v>
      </c>
      <c r="F13" s="3">
        <v>2.5000000000000001E-2</v>
      </c>
      <c r="G13" s="3">
        <v>2.5000000000000001E-2</v>
      </c>
      <c r="H13" s="3">
        <v>2.5000000000000001E-2</v>
      </c>
      <c r="I13" s="3">
        <v>2.5000000000000001E-2</v>
      </c>
      <c r="L13" s="6"/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</row>
    <row r="14" spans="1:76" x14ac:dyDescent="0.3">
      <c r="A14" s="61"/>
      <c r="B14" s="5"/>
      <c r="D14" s="17"/>
      <c r="E14" s="56"/>
      <c r="F14" s="57"/>
      <c r="G14" s="57"/>
      <c r="H14" s="57"/>
      <c r="I14" s="57"/>
      <c r="L14" s="6"/>
      <c r="M14" s="6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</row>
    <row r="15" spans="1:76" x14ac:dyDescent="0.3">
      <c r="A15" s="61" t="s">
        <v>78</v>
      </c>
      <c r="B15" s="5"/>
      <c r="C15" t="s">
        <v>5</v>
      </c>
      <c r="D15" s="17"/>
      <c r="E15" s="55">
        <v>0.25</v>
      </c>
      <c r="F15" s="55"/>
      <c r="G15" s="55"/>
      <c r="H15" s="55"/>
      <c r="I15" s="55"/>
      <c r="J15" t="s">
        <v>71</v>
      </c>
      <c r="K15" t="s">
        <v>38</v>
      </c>
      <c r="L15" s="6"/>
      <c r="M15" s="6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</row>
    <row r="16" spans="1:76" x14ac:dyDescent="0.3">
      <c r="A16" s="61"/>
      <c r="B16" s="5"/>
      <c r="C16" t="s">
        <v>23</v>
      </c>
      <c r="D16" s="17"/>
      <c r="E16" s="55">
        <v>0.3</v>
      </c>
      <c r="J16" t="s">
        <v>72</v>
      </c>
      <c r="K16" t="s">
        <v>38</v>
      </c>
      <c r="L16" s="6"/>
      <c r="M16" s="6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</row>
    <row r="17" spans="1:76" x14ac:dyDescent="0.3">
      <c r="A17" s="61"/>
      <c r="B17" s="5"/>
      <c r="C17" t="s">
        <v>67</v>
      </c>
      <c r="D17" s="17"/>
      <c r="E17" s="55">
        <v>0.12</v>
      </c>
      <c r="J17" t="s">
        <v>73</v>
      </c>
      <c r="K17" t="s">
        <v>38</v>
      </c>
      <c r="L17" s="6"/>
      <c r="M17" s="6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</row>
    <row r="18" spans="1:76" x14ac:dyDescent="0.3">
      <c r="A18" s="61"/>
      <c r="B18" s="5"/>
      <c r="C18" t="s">
        <v>22</v>
      </c>
      <c r="D18" s="17"/>
      <c r="E18" s="55">
        <v>0.15</v>
      </c>
      <c r="J18" s="1" t="s">
        <v>74</v>
      </c>
      <c r="K18" t="s">
        <v>38</v>
      </c>
      <c r="L18" s="6"/>
      <c r="M18" s="6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</row>
    <row r="19" spans="1:76" x14ac:dyDescent="0.3">
      <c r="A19" s="61"/>
      <c r="B19" s="5"/>
      <c r="D19" s="17"/>
      <c r="E19" s="55"/>
      <c r="J19" s="1"/>
      <c r="L19" s="6"/>
      <c r="M19" s="6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</row>
    <row r="20" spans="1:76" x14ac:dyDescent="0.3">
      <c r="A20" s="61" t="s">
        <v>0</v>
      </c>
      <c r="B20" s="5"/>
      <c r="C20" t="s">
        <v>13</v>
      </c>
      <c r="D20" s="17"/>
      <c r="E20" s="60">
        <v>9.0768490916662281E-2</v>
      </c>
      <c r="J20" s="1"/>
      <c r="L20" s="6"/>
      <c r="M20" s="6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</row>
    <row r="21" spans="1:76" x14ac:dyDescent="0.3">
      <c r="A21" s="61"/>
      <c r="B21" s="5"/>
      <c r="C21" t="s">
        <v>30</v>
      </c>
      <c r="D21" s="17"/>
      <c r="E21" s="54">
        <v>2565</v>
      </c>
      <c r="J21" s="1"/>
      <c r="L21" s="6"/>
      <c r="M21" s="6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</row>
    <row r="22" spans="1:76" x14ac:dyDescent="0.3">
      <c r="A22" s="61"/>
      <c r="B22" s="5"/>
      <c r="D22" s="17"/>
      <c r="E22" s="55"/>
      <c r="J22" s="1"/>
      <c r="L22" s="6"/>
      <c r="M22" s="6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</row>
    <row r="23" spans="1:76" x14ac:dyDescent="0.3">
      <c r="A23" s="61"/>
      <c r="B23" s="5"/>
      <c r="D23" s="17"/>
      <c r="E23" s="55"/>
      <c r="J23" s="1"/>
      <c r="K23" t="s">
        <v>38</v>
      </c>
      <c r="L23" s="6"/>
      <c r="M23" s="6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</row>
    <row r="24" spans="1:76" x14ac:dyDescent="0.3">
      <c r="A24" s="61" t="s">
        <v>79</v>
      </c>
      <c r="B24" s="5"/>
      <c r="C24" t="s">
        <v>12</v>
      </c>
      <c r="D24" s="1">
        <v>72000</v>
      </c>
      <c r="E24" s="1">
        <v>120000</v>
      </c>
      <c r="F24" s="1">
        <v>100000</v>
      </c>
      <c r="G24" s="1">
        <v>90000</v>
      </c>
      <c r="H24" s="1">
        <v>60000</v>
      </c>
      <c r="I24" s="1">
        <v>45000</v>
      </c>
      <c r="J24" s="3" t="s">
        <v>52</v>
      </c>
      <c r="K24" t="s">
        <v>38</v>
      </c>
      <c r="L24" s="6"/>
      <c r="M24" s="6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</row>
    <row r="25" spans="1:76" x14ac:dyDescent="0.3">
      <c r="A25" s="61"/>
      <c r="B25" s="5"/>
      <c r="C25" t="s">
        <v>10</v>
      </c>
      <c r="D25" s="1" t="e">
        <f>#REF!</f>
        <v>#REF!</v>
      </c>
      <c r="E25" s="1">
        <v>30000</v>
      </c>
      <c r="F25" s="1">
        <v>42000</v>
      </c>
      <c r="G25" s="1">
        <v>55000</v>
      </c>
      <c r="H25" s="1">
        <v>65000</v>
      </c>
      <c r="I25" s="1">
        <v>55000</v>
      </c>
      <c r="J25" s="3" t="s">
        <v>53</v>
      </c>
      <c r="K25" t="s">
        <v>38</v>
      </c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</row>
    <row r="26" spans="1:76" x14ac:dyDescent="0.3">
      <c r="A26" s="61"/>
      <c r="B26" s="5"/>
      <c r="D26" s="17"/>
      <c r="E26" s="55"/>
      <c r="J26" s="1"/>
      <c r="K26" t="s">
        <v>38</v>
      </c>
      <c r="L26" s="6"/>
      <c r="M26" s="6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</row>
    <row r="27" spans="1:76" x14ac:dyDescent="0.3">
      <c r="A27" s="61" t="s">
        <v>83</v>
      </c>
      <c r="B27" s="5"/>
      <c r="C27" t="s">
        <v>80</v>
      </c>
      <c r="D27" s="38"/>
      <c r="E27" s="38">
        <v>14</v>
      </c>
      <c r="J27" t="s">
        <v>82</v>
      </c>
      <c r="K27" t="s">
        <v>38</v>
      </c>
      <c r="L27" s="6"/>
      <c r="M27" s="6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</row>
    <row r="28" spans="1:76" x14ac:dyDescent="0.3">
      <c r="A28" s="5"/>
      <c r="B28" s="5"/>
      <c r="C28" t="s">
        <v>81</v>
      </c>
      <c r="D28" s="3"/>
      <c r="E28" s="3">
        <v>0.05</v>
      </c>
      <c r="J28" s="1"/>
      <c r="L28" s="6"/>
      <c r="M28" s="6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</row>
    <row r="29" spans="1:76" x14ac:dyDescent="0.3">
      <c r="A29" s="5"/>
      <c r="B29" s="5"/>
      <c r="D29" s="17"/>
      <c r="E29" s="46"/>
      <c r="L29" s="6"/>
      <c r="M29" s="6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</row>
    <row r="30" spans="1:76" x14ac:dyDescent="0.3">
      <c r="A30" s="5"/>
      <c r="B30" s="5"/>
      <c r="C30" s="17"/>
      <c r="D30" s="17"/>
      <c r="E30" s="2"/>
      <c r="F30" s="2"/>
      <c r="G30" s="2"/>
      <c r="H30" s="2"/>
      <c r="I30" s="2"/>
      <c r="J30" s="2"/>
      <c r="L30" s="6"/>
      <c r="M30" s="6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</row>
    <row r="31" spans="1:76" x14ac:dyDescent="0.3">
      <c r="A31" s="5"/>
      <c r="B31" s="5"/>
      <c r="L31" s="6"/>
      <c r="M31" s="6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</row>
    <row r="32" spans="1:76" ht="4.8" customHeight="1" x14ac:dyDescent="0.3">
      <c r="A32" s="5"/>
      <c r="B32" s="5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2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</row>
    <row r="33" spans="1:76" x14ac:dyDescent="0.3">
      <c r="A33" s="5"/>
      <c r="B33" s="5"/>
      <c r="C33" s="10"/>
      <c r="D33" s="10"/>
      <c r="E33" s="10"/>
      <c r="F33" s="10"/>
      <c r="G33" s="10"/>
      <c r="H33" s="10"/>
      <c r="I33" s="10"/>
      <c r="J33" s="10"/>
      <c r="K33" s="10"/>
      <c r="L33" s="5"/>
      <c r="M33" s="10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</row>
    <row r="34" spans="1:76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</row>
    <row r="35" spans="1:76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</row>
    <row r="36" spans="1:76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</row>
    <row r="37" spans="1:76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</row>
    <row r="38" spans="1:76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</row>
    <row r="39" spans="1:76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</row>
    <row r="40" spans="1:76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</row>
    <row r="41" spans="1:76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</row>
    <row r="42" spans="1:76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</row>
    <row r="43" spans="1:76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</row>
    <row r="44" spans="1:76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</row>
    <row r="45" spans="1:76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</row>
    <row r="46" spans="1:76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</row>
    <row r="47" spans="1:76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</row>
    <row r="48" spans="1:76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</row>
    <row r="49" spans="1:76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</row>
    <row r="50" spans="1:76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</row>
    <row r="51" spans="1:76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</row>
    <row r="52" spans="1:76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</row>
    <row r="53" spans="1:76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</row>
    <row r="54" spans="1:76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</row>
    <row r="55" spans="1:76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</row>
    <row r="56" spans="1:76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</row>
    <row r="57" spans="1:76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</row>
    <row r="58" spans="1:76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</row>
    <row r="59" spans="1:76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</row>
    <row r="60" spans="1:76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</row>
    <row r="61" spans="1:76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</row>
    <row r="62" spans="1:76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</row>
    <row r="63" spans="1:76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</row>
    <row r="64" spans="1:76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</row>
    <row r="65" spans="1:76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</row>
    <row r="66" spans="1:76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</row>
    <row r="67" spans="1:76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</row>
    <row r="68" spans="1:76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</row>
    <row r="69" spans="1:76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</row>
    <row r="70" spans="1:76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</row>
    <row r="71" spans="1:76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</row>
    <row r="72" spans="1:76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</row>
    <row r="73" spans="1:76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</row>
    <row r="74" spans="1:76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</row>
    <row r="75" spans="1:76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</row>
    <row r="76" spans="1:76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</row>
    <row r="77" spans="1:76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</row>
    <row r="78" spans="1:76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</row>
    <row r="79" spans="1:76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</row>
    <row r="80" spans="1:76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</row>
    <row r="81" spans="1:76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</row>
    <row r="82" spans="1:76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</row>
    <row r="83" spans="1:76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</row>
    <row r="84" spans="1:76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</row>
    <row r="85" spans="1:76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</row>
    <row r="86" spans="1:76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</row>
    <row r="87" spans="1:76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</row>
    <row r="88" spans="1:76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</row>
    <row r="89" spans="1:76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</row>
    <row r="90" spans="1:76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</row>
    <row r="91" spans="1:76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</row>
    <row r="92" spans="1:76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</row>
    <row r="93" spans="1:76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</row>
    <row r="94" spans="1:76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</row>
    <row r="95" spans="1:76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</row>
    <row r="96" spans="1:76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</row>
    <row r="97" spans="1:76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</row>
    <row r="98" spans="1:76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</row>
    <row r="99" spans="1:76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</row>
    <row r="100" spans="1:76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</row>
    <row r="101" spans="1:76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</row>
    <row r="102" spans="1:76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</row>
    <row r="103" spans="1:76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</row>
    <row r="104" spans="1:76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</row>
    <row r="105" spans="1:76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</row>
    <row r="106" spans="1:76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</row>
    <row r="107" spans="1:76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</row>
    <row r="108" spans="1:76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</row>
    <row r="109" spans="1:76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</row>
    <row r="110" spans="1:76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</row>
    <row r="111" spans="1:76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</row>
    <row r="112" spans="1:76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</row>
    <row r="113" spans="1:76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</row>
    <row r="114" spans="1:76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</row>
    <row r="115" spans="1:76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</row>
    <row r="116" spans="1:76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</row>
    <row r="117" spans="1:76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</row>
    <row r="118" spans="1:76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</row>
    <row r="119" spans="1:76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</row>
    <row r="120" spans="1:76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</row>
    <row r="121" spans="1:76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</row>
    <row r="122" spans="1:76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</row>
    <row r="123" spans="1:76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</row>
    <row r="124" spans="1:76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</row>
    <row r="125" spans="1:76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</row>
    <row r="126" spans="1:76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</row>
    <row r="127" spans="1:76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</row>
    <row r="128" spans="1:76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</row>
    <row r="129" spans="1:76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</row>
    <row r="130" spans="1:76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</row>
    <row r="131" spans="1:76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</row>
    <row r="132" spans="1:76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</row>
    <row r="133" spans="1:76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</row>
    <row r="134" spans="1:76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</row>
    <row r="135" spans="1:76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</row>
    <row r="136" spans="1:76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</row>
    <row r="137" spans="1:76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</row>
    <row r="138" spans="1:76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</row>
    <row r="139" spans="1:76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</row>
    <row r="140" spans="1:76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</row>
    <row r="141" spans="1:76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</row>
    <row r="142" spans="1:76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</row>
    <row r="143" spans="1:76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</row>
    <row r="144" spans="1:76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</row>
    <row r="145" spans="1:76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</row>
    <row r="146" spans="1:76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</row>
    <row r="147" spans="1:76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</row>
    <row r="148" spans="1:76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</row>
    <row r="149" spans="1:76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</row>
    <row r="150" spans="1:76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</row>
    <row r="151" spans="1:76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</row>
    <row r="152" spans="1:76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</row>
    <row r="153" spans="1:76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</row>
    <row r="154" spans="1:76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</row>
    <row r="155" spans="1:76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</row>
    <row r="156" spans="1:76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</row>
    <row r="157" spans="1:76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</row>
    <row r="158" spans="1:76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</row>
    <row r="159" spans="1:76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</row>
    <row r="160" spans="1:76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</row>
    <row r="161" spans="1:76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</row>
    <row r="162" spans="1:76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</row>
    <row r="163" spans="1:76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</row>
    <row r="164" spans="1:76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</row>
    <row r="165" spans="1:76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</row>
    <row r="166" spans="1:76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</row>
    <row r="167" spans="1:76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</row>
    <row r="168" spans="1:76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</row>
    <row r="169" spans="1:76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</row>
    <row r="170" spans="1:76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</row>
    <row r="171" spans="1:76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</row>
    <row r="172" spans="1:76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</row>
    <row r="173" spans="1:76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</row>
    <row r="174" spans="1:76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</row>
    <row r="175" spans="1:76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</row>
    <row r="176" spans="1:76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</row>
    <row r="177" spans="1:76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</row>
    <row r="178" spans="1:76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</row>
    <row r="179" spans="1:76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</row>
    <row r="180" spans="1:76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</row>
  </sheetData>
  <phoneticPr fontId="9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</vt:lpstr>
      <vt:lpstr>WAAC</vt:lpstr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A</dc:creator>
  <cp:lastModifiedBy>M A</cp:lastModifiedBy>
  <dcterms:created xsi:type="dcterms:W3CDTF">2026-01-13T16:27:08Z</dcterms:created>
  <dcterms:modified xsi:type="dcterms:W3CDTF">2026-02-24T21:51:25Z</dcterms:modified>
</cp:coreProperties>
</file>