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dels\META\"/>
    </mc:Choice>
  </mc:AlternateContent>
  <xr:revisionPtr revIDLastSave="0" documentId="13_ncr:1_{F3812207-F21B-418D-9744-3B25351BAA38}" xr6:coauthVersionLast="47" xr6:coauthVersionMax="47" xr10:uidLastSave="{00000000-0000-0000-0000-000000000000}"/>
  <bookViews>
    <workbookView xWindow="-28920" yWindow="660" windowWidth="29040" windowHeight="15720" xr2:uid="{E1435971-A588-45C3-BB00-83ACB915F087}"/>
  </bookViews>
  <sheets>
    <sheet name="Sheet1" sheetId="1" r:id="rId1"/>
  </sheets>
  <definedNames>
    <definedName name="d1_">Sheet1!$J$13</definedName>
    <definedName name="d2_">Sheet1!$J$14</definedName>
    <definedName name="K">Sheet1!$F$18</definedName>
    <definedName name="r_">Sheet1!$F$20</definedName>
    <definedName name="S">Sheet1!$F$17</definedName>
    <definedName name="T">Sheet1!$F$19</definedName>
    <definedName name="σ">Sheet1!$F$21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1" l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H52" i="1"/>
  <c r="I52" i="1"/>
  <c r="D53" i="1"/>
  <c r="E53" i="1"/>
  <c r="F53" i="1"/>
  <c r="G53" i="1"/>
  <c r="H53" i="1"/>
  <c r="I53" i="1"/>
  <c r="I49" i="1"/>
  <c r="H49" i="1"/>
  <c r="G49" i="1"/>
  <c r="F49" i="1"/>
  <c r="E49" i="1"/>
  <c r="D49" i="1"/>
  <c r="I48" i="1"/>
  <c r="H48" i="1"/>
  <c r="G48" i="1"/>
  <c r="F48" i="1"/>
  <c r="E48" i="1"/>
  <c r="D48" i="1"/>
  <c r="K33" i="1"/>
  <c r="J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H33" i="1"/>
  <c r="G33" i="1"/>
  <c r="F43" i="1"/>
  <c r="F42" i="1"/>
  <c r="F41" i="1"/>
  <c r="F40" i="1"/>
  <c r="F39" i="1"/>
  <c r="F38" i="1"/>
  <c r="F37" i="1"/>
  <c r="F36" i="1"/>
  <c r="F35" i="1"/>
  <c r="F34" i="1"/>
  <c r="F33" i="1"/>
  <c r="E43" i="1"/>
  <c r="E42" i="1"/>
  <c r="E41" i="1"/>
  <c r="E40" i="1"/>
  <c r="E39" i="1"/>
  <c r="E38" i="1"/>
  <c r="E37" i="1"/>
  <c r="E36" i="1"/>
  <c r="E35" i="1"/>
  <c r="E34" i="1"/>
  <c r="E33" i="1"/>
  <c r="D43" i="1"/>
  <c r="D42" i="1"/>
  <c r="D41" i="1"/>
  <c r="D40" i="1"/>
  <c r="D39" i="1"/>
  <c r="D38" i="1"/>
  <c r="D37" i="1"/>
  <c r="D36" i="1"/>
  <c r="D35" i="1"/>
  <c r="D34" i="1"/>
  <c r="D33" i="1"/>
  <c r="J13" i="1"/>
  <c r="J14" i="1" s="1"/>
  <c r="J10" i="1" l="1"/>
  <c r="J9" i="1"/>
</calcChain>
</file>

<file path=xl/sharedStrings.xml><?xml version="1.0" encoding="utf-8"?>
<sst xmlns="http://schemas.openxmlformats.org/spreadsheetml/2006/main" count="48" uniqueCount="44">
  <si>
    <t>Inputs</t>
  </si>
  <si>
    <t>Underlying price</t>
  </si>
  <si>
    <t>Strike Price</t>
  </si>
  <si>
    <t>Time to Expiration</t>
  </si>
  <si>
    <t>Risk Free Rate</t>
  </si>
  <si>
    <t>Volatility</t>
  </si>
  <si>
    <t>S</t>
  </si>
  <si>
    <t>K</t>
  </si>
  <si>
    <t>T</t>
  </si>
  <si>
    <t>r</t>
  </si>
  <si>
    <t>σ</t>
  </si>
  <si>
    <t>Normal CDF</t>
  </si>
  <si>
    <t>N(..)</t>
  </si>
  <si>
    <t>In</t>
  </si>
  <si>
    <t>Exponential (compounding factor)</t>
  </si>
  <si>
    <t>e</t>
  </si>
  <si>
    <t>Natural Log (log return)</t>
  </si>
  <si>
    <t>Pi</t>
  </si>
  <si>
    <t>π</t>
  </si>
  <si>
    <t>Formulas</t>
  </si>
  <si>
    <t>Calculations</t>
  </si>
  <si>
    <t>each figure defined as symbol</t>
  </si>
  <si>
    <t>Call</t>
  </si>
  <si>
    <t>Put</t>
  </si>
  <si>
    <t>c</t>
  </si>
  <si>
    <t>p</t>
  </si>
  <si>
    <t>d1</t>
  </si>
  <si>
    <t>d2</t>
  </si>
  <si>
    <t>p = K * e^(-rT) * N(-d2) - S0 * N(-d1)</t>
  </si>
  <si>
    <t>d1 = [ ln(S0 / K) + (r + σ^2 / 2) * T ] / (σ * √T)</t>
  </si>
  <si>
    <t>c = S0 * N(d1) - K * e^(-rT) * N(d2)</t>
  </si>
  <si>
    <t>norm.dst(</t>
  </si>
  <si>
    <t>Mohanad Assali</t>
  </si>
  <si>
    <t>BlackScholes</t>
  </si>
  <si>
    <t xml:space="preserve">‎ </t>
  </si>
  <si>
    <t>Black Scholes Model</t>
  </si>
  <si>
    <t>Last Modified 2/27/2026</t>
  </si>
  <si>
    <t>d2 =  d1 - σ * √T</t>
  </si>
  <si>
    <t>Visualization</t>
  </si>
  <si>
    <t>Price</t>
  </si>
  <si>
    <t>Strike</t>
  </si>
  <si>
    <t>Option Value Surface</t>
  </si>
  <si>
    <t>Time/Price</t>
  </si>
  <si>
    <t>Put Call Parity (Verification)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</si>
</sst>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0" xfId="0" applyFont="1" applyFill="1"/>
    <xf numFmtId="0" fontId="0" fillId="0" borderId="3" xfId="0" applyBorder="1"/>
    <xf numFmtId="0" fontId="1" fillId="0" borderId="0" xfId="0" applyFont="1"/>
    <xf numFmtId="0" fontId="0" fillId="2" borderId="0" xfId="0" applyFill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4" fillId="0" borderId="10" xfId="0" applyFont="1" applyBorder="1"/>
    <xf numFmtId="0" fontId="0" fillId="0" borderId="2" xfId="0" applyBorder="1"/>
    <xf numFmtId="164" fontId="0" fillId="0" borderId="10" xfId="0" applyNumberFormat="1" applyBorder="1"/>
    <xf numFmtId="165" fontId="0" fillId="0" borderId="10" xfId="0" applyNumberFormat="1" applyBorder="1"/>
    <xf numFmtId="10" fontId="0" fillId="0" borderId="10" xfId="0" applyNumberFormat="1" applyBorder="1"/>
    <xf numFmtId="165" fontId="0" fillId="0" borderId="0" xfId="0" applyNumberFormat="1"/>
    <xf numFmtId="8" fontId="0" fillId="0" borderId="10" xfId="0" applyNumberFormat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Meta Option Sensitivity Analysis (5-Year Horizon)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Sheet1!$G$32</c:f>
              <c:strCache>
                <c:ptCount val="1"/>
                <c:pt idx="0">
                  <c:v>Call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Sheet1!$C$33:$C$43</c:f>
              <c:numCache>
                <c:formatCode>"$"#,##0.00</c:formatCode>
                <c:ptCount val="11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</c:numCache>
            </c:numRef>
          </c:xVal>
          <c:yVal>
            <c:numRef>
              <c:f>Sheet1!$G$33:$G$43</c:f>
              <c:numCache>
                <c:formatCode>"$"#,##0.00</c:formatCode>
                <c:ptCount val="11"/>
                <c:pt idx="0">
                  <c:v>70.038927400384594</c:v>
                </c:pt>
                <c:pt idx="1">
                  <c:v>95.828906092884267</c:v>
                </c:pt>
                <c:pt idx="2">
                  <c:v>124.89801417414091</c:v>
                </c:pt>
                <c:pt idx="3">
                  <c:v>156.82698008889727</c:v>
                </c:pt>
                <c:pt idx="4">
                  <c:v>191.2293809054849</c:v>
                </c:pt>
                <c:pt idx="5">
                  <c:v>227.7601323199097</c:v>
                </c:pt>
                <c:pt idx="6">
                  <c:v>266.11699091075292</c:v>
                </c:pt>
                <c:pt idx="7">
                  <c:v>306.03845400389002</c:v>
                </c:pt>
                <c:pt idx="8">
                  <c:v>347.30000748208352</c:v>
                </c:pt>
                <c:pt idx="9">
                  <c:v>389.70980798995197</c:v>
                </c:pt>
                <c:pt idx="10">
                  <c:v>433.10437811584222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5-4437-BF2C-A444486E8A61}"/>
            </c:ext>
          </c:extLst>
        </c:ser>
        <c:ser>
          <c:idx val="1"/>
          <c:order val="1"/>
          <c:tx>
            <c:strRef>
              <c:f>Sheet1!$H$32</c:f>
              <c:strCache>
                <c:ptCount val="1"/>
                <c:pt idx="0">
                  <c:v>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Sheet1!$C$33:$C$43</c:f>
              <c:numCache>
                <c:formatCode>"$"#,##0.00</c:formatCode>
                <c:ptCount val="11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</c:numCache>
            </c:numRef>
          </c:xVal>
          <c:yVal>
            <c:numRef>
              <c:f>Sheet1!$H$33:$H$43</c:f>
              <c:numCache>
                <c:formatCode>"$"#,##0.00</c:formatCode>
                <c:ptCount val="11"/>
                <c:pt idx="0">
                  <c:v>188.00226057533408</c:v>
                </c:pt>
                <c:pt idx="1">
                  <c:v>163.79223926783379</c:v>
                </c:pt>
                <c:pt idx="2">
                  <c:v>142.86134734909047</c:v>
                </c:pt>
                <c:pt idx="3">
                  <c:v>124.79031326384685</c:v>
                </c:pt>
                <c:pt idx="4">
                  <c:v>109.19271408043446</c:v>
                </c:pt>
                <c:pt idx="5">
                  <c:v>95.723465494859255</c:v>
                </c:pt>
                <c:pt idx="6">
                  <c:v>84.080324085702443</c:v>
                </c:pt>
                <c:pt idx="7">
                  <c:v>74.001787178839606</c:v>
                </c:pt>
                <c:pt idx="8">
                  <c:v>65.263340657033069</c:v>
                </c:pt>
                <c:pt idx="9">
                  <c:v>57.673141164901395</c:v>
                </c:pt>
                <c:pt idx="10">
                  <c:v>51.067711290791749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5-4437-BF2C-A444486E8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3528"/>
        <c:axId val="108452648"/>
      </c:scatterChart>
      <c:valAx>
        <c:axId val="10847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648"/>
        <c:crosses val="autoZero"/>
        <c:crossBetween val="midCat"/>
      </c:valAx>
      <c:valAx>
        <c:axId val="10845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3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baseline="0"/>
              <a:t>Option Value Surface: Stock Price vs. Time to Expiration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0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Sheet1!$C$49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Sheet1!$D$48:$I$48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Sheet1!$D$49:$I$49</c:f>
              <c:numCache>
                <c:formatCode>"$"#,##0.00</c:formatCode>
                <c:ptCount val="6"/>
                <c:pt idx="0">
                  <c:v>5.1521441569262763</c:v>
                </c:pt>
                <c:pt idx="1">
                  <c:v>24.481353264745962</c:v>
                </c:pt>
                <c:pt idx="2">
                  <c:v>66.115849182024959</c:v>
                </c:pt>
                <c:pt idx="3">
                  <c:v>129.41879261727922</c:v>
                </c:pt>
                <c:pt idx="4">
                  <c:v>208.65691518847007</c:v>
                </c:pt>
                <c:pt idx="5">
                  <c:v>297.74609381851565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7-4704-8467-4A5CAD09E77C}"/>
            </c:ext>
          </c:extLst>
        </c:ser>
        <c:ser>
          <c:idx val="1"/>
          <c:order val="1"/>
          <c:tx>
            <c:strRef>
              <c:f>Sheet1!$C$50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Sheet1!$D$48:$I$48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Sheet1!$D$50:$I$50</c:f>
              <c:numCache>
                <c:formatCode>"$"#,##0.00</c:formatCode>
                <c:ptCount val="6"/>
                <c:pt idx="0">
                  <c:v>20.144579213030994</c:v>
                </c:pt>
                <c:pt idx="1">
                  <c:v>53.999561207150407</c:v>
                </c:pt>
                <c:pt idx="2">
                  <c:v>106.11134322237606</c:v>
                </c:pt>
                <c:pt idx="3">
                  <c:v>173.31638714985382</c:v>
                </c:pt>
                <c:pt idx="4">
                  <c:v>251.62534117698851</c:v>
                </c:pt>
                <c:pt idx="5">
                  <c:v>337.57001573043198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7-4704-8467-4A5CAD09E77C}"/>
            </c:ext>
          </c:extLst>
        </c:ser>
        <c:ser>
          <c:idx val="2"/>
          <c:order val="2"/>
          <c:tx>
            <c:strRef>
              <c:f>Sheet1!$C$51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Sheet1!$D$48:$I$48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Sheet1!$D$51:$I$51</c:f>
              <c:numCache>
                <c:formatCode>"$"#,##0.00</c:formatCode>
                <c:ptCount val="6"/>
                <c:pt idx="0">
                  <c:v>37.05503752686289</c:v>
                </c:pt>
                <c:pt idx="1">
                  <c:v>80.103036926480172</c:v>
                </c:pt>
                <c:pt idx="2">
                  <c:v>138.41667276571187</c:v>
                </c:pt>
                <c:pt idx="3">
                  <c:v>208.65607029859376</c:v>
                </c:pt>
                <c:pt idx="4">
                  <c:v>287.66972581270073</c:v>
                </c:pt>
                <c:pt idx="5">
                  <c:v>372.9392555051146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87-4704-8467-4A5CAD09E77C}"/>
            </c:ext>
          </c:extLst>
        </c:ser>
        <c:ser>
          <c:idx val="3"/>
          <c:order val="3"/>
          <c:tx>
            <c:strRef>
              <c:f>Sheet1!$C$52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Sheet1!$D$48:$I$48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Sheet1!$D$52:$I$52</c:f>
              <c:numCache>
                <c:formatCode>"$"#,##0.00</c:formatCode>
                <c:ptCount val="6"/>
                <c:pt idx="0">
                  <c:v>53.855859126750303</c:v>
                </c:pt>
                <c:pt idx="1">
                  <c:v>103.54430912523222</c:v>
                </c:pt>
                <c:pt idx="2">
                  <c:v>166.34100696551786</c:v>
                </c:pt>
                <c:pt idx="3">
                  <c:v>239.08670078174254</c:v>
                </c:pt>
                <c:pt idx="4">
                  <c:v>319.15245555193752</c:v>
                </c:pt>
                <c:pt idx="5">
                  <c:v>404.53315466694232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87-4704-8467-4A5CAD09E77C}"/>
            </c:ext>
          </c:extLst>
        </c:ser>
        <c:ser>
          <c:idx val="4"/>
          <c:order val="4"/>
          <c:tx>
            <c:strRef>
              <c:f>Sheet1!$C$53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Sheet1!$D$48:$I$48</c:f>
              <c:numCache>
                <c:formatCode>"$"#,##0.00_);[Red]\("$"#,##0.00\)</c:formatCode>
                <c:ptCount val="6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  <c:pt idx="4">
                  <c:v>800</c:v>
                </c:pt>
                <c:pt idx="5">
                  <c:v>900</c:v>
                </c:pt>
              </c:numCache>
            </c:numRef>
          </c:cat>
          <c:val>
            <c:numRef>
              <c:f>Sheet1!$D$53:$I$53</c:f>
              <c:numCache>
                <c:formatCode>"$"#,##0.00</c:formatCode>
                <c:ptCount val="6"/>
                <c:pt idx="0">
                  <c:v>70.038927400384594</c:v>
                </c:pt>
                <c:pt idx="1">
                  <c:v>124.89801417414091</c:v>
                </c:pt>
                <c:pt idx="2">
                  <c:v>191.2293809054849</c:v>
                </c:pt>
                <c:pt idx="3">
                  <c:v>266.11699091075292</c:v>
                </c:pt>
                <c:pt idx="4">
                  <c:v>347.30000748208352</c:v>
                </c:pt>
                <c:pt idx="5">
                  <c:v>433.10437811584222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87-4704-8467-4A5CAD09E77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21783808"/>
        <c:axId val="621779488"/>
        <c:axId val="620252800"/>
      </c:surface3DChart>
      <c:catAx>
        <c:axId val="621783808"/>
        <c:scaling>
          <c:orientation val="minMax"/>
        </c:scaling>
        <c:delete val="0"/>
        <c:axPos val="b"/>
        <c:numFmt formatCode="&quot;$&quot;#,##0.00_);[Red]\(&quot;$&quot;#,##0.0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9488"/>
        <c:crosses val="autoZero"/>
        <c:auto val="1"/>
        <c:lblAlgn val="ctr"/>
        <c:lblOffset val="100"/>
        <c:noMultiLvlLbl val="0"/>
      </c:catAx>
      <c:valAx>
        <c:axId val="6217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83808"/>
        <c:crosses val="autoZero"/>
        <c:crossBetween val="midCat"/>
      </c:valAx>
      <c:serAx>
        <c:axId val="620252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794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120015</xdr:colOff>
      <xdr:row>11</xdr:row>
      <xdr:rowOff>150495</xdr:rowOff>
    </xdr:from>
    <xdr:to>
      <xdr:col>19</xdr:col>
      <xdr:colOff>150763</xdr:colOff>
      <xdr:row>18</xdr:row>
      <xdr:rowOff>101069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50B6B0-1B25-691C-3D73-09AAECD03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2815" y="2141220"/>
          <a:ext cx="3078748" cy="121739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6</xdr:row>
      <xdr:rowOff>78105</xdr:rowOff>
    </xdr:from>
    <xdr:to>
      <xdr:col>19</xdr:col>
      <xdr:colOff>129809</xdr:colOff>
      <xdr:row>9</xdr:row>
      <xdr:rowOff>169600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D0606E-CADD-B12B-9C15-6C6DB6E81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6650" y="1163955"/>
          <a:ext cx="3101609" cy="642040"/>
        </a:xfrm>
        <a:prstGeom prst="rect">
          <a:avLst/>
        </a:prstGeom>
      </xdr:spPr>
    </xdr:pic>
    <xdr:clientData/>
  </xdr:twoCellAnchor>
  <xdr:twoCellAnchor editAs="oneCell">
    <xdr:from>
      <xdr:col>14</xdr:col>
      <xdr:colOff>217170</xdr:colOff>
      <xdr:row>8</xdr:row>
      <xdr:rowOff>173355</xdr:rowOff>
    </xdr:from>
    <xdr:to>
      <xdr:col>19</xdr:col>
      <xdr:colOff>211719</xdr:colOff>
      <xdr:row>12</xdr:row>
      <xdr:rowOff>15289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68C4A5-2007-B804-2CB6-2CB0CFA0E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7620" y="1621155"/>
          <a:ext cx="3048264" cy="556309"/>
        </a:xfrm>
        <a:prstGeom prst="rect">
          <a:avLst/>
        </a:prstGeom>
      </xdr:spPr>
    </xdr:pic>
    <xdr:clientData/>
  </xdr:twoCellAnchor>
  <xdr:twoCellAnchor>
    <xdr:from>
      <xdr:col>15</xdr:col>
      <xdr:colOff>363855</xdr:colOff>
      <xdr:row>19</xdr:row>
      <xdr:rowOff>178117</xdr:rowOff>
    </xdr:from>
    <xdr:to>
      <xdr:col>21</xdr:col>
      <xdr:colOff>541020</xdr:colOff>
      <xdr:row>33</xdr:row>
      <xdr:rowOff>177165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B6E0B0-C2CE-0631-F959-FD0EDB2D5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7620</xdr:colOff>
      <xdr:row>34</xdr:row>
      <xdr:rowOff>131445</xdr:rowOff>
    </xdr:from>
    <xdr:to>
      <xdr:col>18</xdr:col>
      <xdr:colOff>360235</xdr:colOff>
      <xdr:row>37</xdr:row>
      <xdr:rowOff>95295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0661A07-38EC-FC51-D076-B80767D16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7670" y="6284595"/>
          <a:ext cx="2181415" cy="506775"/>
        </a:xfrm>
        <a:prstGeom prst="rect">
          <a:avLst/>
        </a:prstGeom>
      </xdr:spPr>
    </xdr:pic>
    <xdr:clientData/>
  </xdr:twoCellAnchor>
  <xdr:twoCellAnchor>
    <xdr:from>
      <xdr:col>14</xdr:col>
      <xdr:colOff>564832</xdr:colOff>
      <xdr:row>42</xdr:row>
      <xdr:rowOff>56197</xdr:rowOff>
    </xdr:from>
    <xdr:to>
      <xdr:col>22</xdr:col>
      <xdr:colOff>254317</xdr:colOff>
      <xdr:row>57</xdr:row>
      <xdr:rowOff>79057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5B61253-4C59-F31A-EE80-68D3D18B4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BBF-6AA0-43DB-BD59-AA520EA135B4}">
  <dimension ref="A1:N205"/>
  <sheetViews>
    <sheetView tabSelected="1" workbookViewId="0">
      <selection activeCell="Z10" sqref="Z10"/>
    </sheetView>
  </sheetViews>
  <sheetFormatPr defaultRowHeight="14.4" x14ac:dyDescent="0.3"/>
  <cols>
    <col min="1" max="1" width="5.21875" style="17" customWidth="1"/>
    <col min="2" max="11" width="8.88671875" style="13"/>
    <col min="12" max="12" width="7.77734375" customWidth="1"/>
    <col min="13" max="13" width="1.5546875" customWidth="1"/>
    <col min="14" max="14" width="1" customWidth="1"/>
    <col min="15" max="16384" width="8.88671875" style="1"/>
  </cols>
  <sheetData>
    <row r="1" spans="2:14" x14ac:dyDescent="0.3">
      <c r="B1" s="3" t="s">
        <v>36</v>
      </c>
      <c r="C1" s="3"/>
      <c r="D1" s="3"/>
      <c r="E1" s="3"/>
      <c r="F1" s="3" t="s">
        <v>35</v>
      </c>
      <c r="G1" s="3"/>
      <c r="H1" s="3"/>
      <c r="I1" s="3"/>
      <c r="J1" s="3" t="s">
        <v>32</v>
      </c>
      <c r="K1" s="3"/>
      <c r="L1" s="3"/>
      <c r="M1" s="4"/>
      <c r="N1" s="4"/>
    </row>
    <row r="2" spans="2:14" x14ac:dyDescent="0.3">
      <c r="B2" s="2" t="s">
        <v>33</v>
      </c>
      <c r="C2"/>
      <c r="D2"/>
      <c r="E2"/>
      <c r="F2"/>
      <c r="G2"/>
      <c r="H2"/>
      <c r="I2"/>
      <c r="J2"/>
      <c r="K2"/>
      <c r="M2" s="4"/>
      <c r="N2" s="4"/>
    </row>
    <row r="3" spans="2:14" x14ac:dyDescent="0.3">
      <c r="B3"/>
      <c r="C3"/>
      <c r="D3"/>
      <c r="E3"/>
      <c r="F3"/>
      <c r="G3"/>
      <c r="H3"/>
      <c r="I3"/>
      <c r="J3"/>
      <c r="K3"/>
      <c r="M3" s="4"/>
      <c r="N3" s="4"/>
    </row>
    <row r="4" spans="2:14" x14ac:dyDescent="0.3">
      <c r="B4"/>
      <c r="C4"/>
      <c r="D4"/>
      <c r="E4"/>
      <c r="F4"/>
      <c r="G4"/>
      <c r="H4"/>
      <c r="I4"/>
      <c r="M4" s="4"/>
      <c r="N4" s="4"/>
    </row>
    <row r="5" spans="2:1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4"/>
      <c r="N5" s="4"/>
    </row>
    <row r="6" spans="2:14" x14ac:dyDescent="0.3">
      <c r="L6" s="5"/>
      <c r="M6" s="4"/>
      <c r="N6" s="4"/>
    </row>
    <row r="7" spans="2:14" x14ac:dyDescent="0.3">
      <c r="M7" s="4"/>
      <c r="N7" s="4"/>
    </row>
    <row r="8" spans="2:14" x14ac:dyDescent="0.3">
      <c r="C8" s="26" t="s">
        <v>19</v>
      </c>
      <c r="D8" s="26"/>
      <c r="E8" s="26"/>
      <c r="F8" s="26"/>
      <c r="H8" s="23" t="s">
        <v>20</v>
      </c>
      <c r="I8" s="24"/>
      <c r="J8" s="24"/>
      <c r="K8" s="25"/>
      <c r="M8" s="4"/>
      <c r="N8" s="4"/>
    </row>
    <row r="9" spans="2:14" x14ac:dyDescent="0.3">
      <c r="C9" s="15" t="s">
        <v>30</v>
      </c>
      <c r="H9" s="13" t="s">
        <v>22</v>
      </c>
      <c r="I9" s="13" t="s">
        <v>24</v>
      </c>
      <c r="J9" s="19">
        <f>(S*_xlfn.NORM.DIST(d1_,0,1, TRUE))-(K*EXP(-r_*T)*_xlfn.NORM.DIST(d2_,0,1,TRUE))</f>
        <v>219.55679558962177</v>
      </c>
      <c r="M9" s="4"/>
      <c r="N9" s="4"/>
    </row>
    <row r="10" spans="2:14" x14ac:dyDescent="0.3">
      <c r="C10" s="15" t="s">
        <v>28</v>
      </c>
      <c r="H10" s="13" t="s">
        <v>23</v>
      </c>
      <c r="I10" s="13" t="s">
        <v>25</v>
      </c>
      <c r="J10" s="19">
        <f>K*EXP(-r_*T)*_xlfn.NORM.DIST(-d2_,0,1,TRUE)-S*_xlfn.NORM.DIST(-d1_,0,1,TRUE)</f>
        <v>98.520128764571297</v>
      </c>
      <c r="M10" s="4"/>
      <c r="N10" s="4"/>
    </row>
    <row r="11" spans="2:14" x14ac:dyDescent="0.3">
      <c r="C11" s="15"/>
      <c r="M11" s="4"/>
      <c r="N11" s="4"/>
    </row>
    <row r="12" spans="2:14" x14ac:dyDescent="0.3">
      <c r="C12" s="15" t="s">
        <v>29</v>
      </c>
      <c r="L12" s="7"/>
      <c r="M12" s="8"/>
      <c r="N12" s="4"/>
    </row>
    <row r="13" spans="2:14" x14ac:dyDescent="0.3">
      <c r="C13" s="15" t="s">
        <v>37</v>
      </c>
      <c r="I13" s="13" t="s">
        <v>26</v>
      </c>
      <c r="J13" s="18">
        <f>(LN(S/K)+(r_+σ^2/2)*T)/(σ*SQRT(5))</f>
        <v>0.64845971347493891</v>
      </c>
      <c r="L13" s="7"/>
      <c r="M13" s="8"/>
      <c r="N13" s="4"/>
    </row>
    <row r="14" spans="2:14" x14ac:dyDescent="0.3">
      <c r="I14" s="13" t="s">
        <v>27</v>
      </c>
      <c r="J14" s="18">
        <f>d1_-σ*SQRT(5)</f>
        <v>-2.2360679774998005E-2</v>
      </c>
      <c r="L14" s="7"/>
      <c r="M14" s="8"/>
      <c r="N14" s="4"/>
    </row>
    <row r="15" spans="2:14" x14ac:dyDescent="0.3">
      <c r="L15" s="7"/>
      <c r="M15" s="8"/>
      <c r="N15" s="4"/>
    </row>
    <row r="16" spans="2:14" x14ac:dyDescent="0.3">
      <c r="C16" s="26" t="s">
        <v>0</v>
      </c>
      <c r="D16" s="26"/>
      <c r="E16" s="26"/>
      <c r="F16" s="26"/>
      <c r="L16" s="7"/>
      <c r="M16" s="8"/>
      <c r="N16" s="4"/>
    </row>
    <row r="17" spans="3:14" x14ac:dyDescent="0.3">
      <c r="C17" s="13" t="s">
        <v>1</v>
      </c>
      <c r="E17" s="14" t="s">
        <v>6</v>
      </c>
      <c r="F17" s="19">
        <v>639</v>
      </c>
      <c r="G17" s="16" t="s">
        <v>21</v>
      </c>
      <c r="L17" s="7"/>
      <c r="M17" s="8"/>
      <c r="N17" s="4"/>
    </row>
    <row r="18" spans="3:14" x14ac:dyDescent="0.3">
      <c r="C18" s="13" t="s">
        <v>2</v>
      </c>
      <c r="E18" s="14" t="s">
        <v>7</v>
      </c>
      <c r="F18" s="19">
        <v>639</v>
      </c>
      <c r="L18" s="7"/>
      <c r="M18" s="8"/>
      <c r="N18" s="4"/>
    </row>
    <row r="19" spans="3:14" x14ac:dyDescent="0.3">
      <c r="C19" s="13" t="s">
        <v>3</v>
      </c>
      <c r="E19" s="14" t="s">
        <v>8</v>
      </c>
      <c r="F19" s="13">
        <v>5</v>
      </c>
      <c r="L19" s="7"/>
      <c r="M19" s="8"/>
      <c r="N19" s="4"/>
    </row>
    <row r="20" spans="3:14" x14ac:dyDescent="0.3">
      <c r="C20" s="13" t="s">
        <v>4</v>
      </c>
      <c r="E20" s="14" t="s">
        <v>9</v>
      </c>
      <c r="F20" s="20">
        <v>4.2000000000000003E-2</v>
      </c>
      <c r="L20" s="7"/>
      <c r="M20" s="8"/>
      <c r="N20" s="4"/>
    </row>
    <row r="21" spans="3:14" x14ac:dyDescent="0.3">
      <c r="C21" s="13" t="s">
        <v>5</v>
      </c>
      <c r="E21" s="14" t="s">
        <v>10</v>
      </c>
      <c r="F21" s="20">
        <v>0.3</v>
      </c>
      <c r="L21" s="7"/>
      <c r="M21" s="8"/>
      <c r="N21" s="4"/>
    </row>
    <row r="22" spans="3:14" x14ac:dyDescent="0.3">
      <c r="E22" s="14"/>
      <c r="L22" s="9"/>
      <c r="M22" s="8"/>
      <c r="N22" s="4"/>
    </row>
    <row r="23" spans="3:14" x14ac:dyDescent="0.3">
      <c r="C23" s="13" t="s">
        <v>11</v>
      </c>
      <c r="E23" s="14" t="s">
        <v>12</v>
      </c>
      <c r="F23" s="13" t="s">
        <v>31</v>
      </c>
      <c r="L23" s="9"/>
      <c r="M23" s="8"/>
      <c r="N23" s="4"/>
    </row>
    <row r="24" spans="3:14" x14ac:dyDescent="0.3">
      <c r="C24" s="13" t="s">
        <v>16</v>
      </c>
      <c r="E24" s="14" t="s">
        <v>13</v>
      </c>
      <c r="L24" s="9"/>
      <c r="M24" s="8"/>
      <c r="N24" s="4"/>
    </row>
    <row r="25" spans="3:14" x14ac:dyDescent="0.3">
      <c r="C25" s="13" t="s">
        <v>14</v>
      </c>
      <c r="E25" s="14" t="s">
        <v>15</v>
      </c>
      <c r="L25" s="9"/>
      <c r="M25" s="8"/>
      <c r="N25" s="4"/>
    </row>
    <row r="26" spans="3:14" x14ac:dyDescent="0.3">
      <c r="C26" s="13" t="s">
        <v>17</v>
      </c>
      <c r="E26" s="14" t="s">
        <v>18</v>
      </c>
      <c r="F26" s="13">
        <v>3.14</v>
      </c>
      <c r="L26" s="9"/>
      <c r="M26" s="8"/>
      <c r="N26" s="4"/>
    </row>
    <row r="27" spans="3:14" x14ac:dyDescent="0.3">
      <c r="L27" s="7"/>
      <c r="M27" s="8"/>
      <c r="N27" s="4"/>
    </row>
    <row r="28" spans="3:14" x14ac:dyDescent="0.3">
      <c r="L28" s="7"/>
      <c r="M28" s="8"/>
      <c r="N28" s="4"/>
    </row>
    <row r="29" spans="3:14" x14ac:dyDescent="0.3">
      <c r="L29" s="7"/>
      <c r="M29" s="8"/>
      <c r="N29" s="4"/>
    </row>
    <row r="30" spans="3:14" x14ac:dyDescent="0.3">
      <c r="C30" s="23" t="s">
        <v>38</v>
      </c>
      <c r="D30" s="24"/>
      <c r="E30" s="24"/>
      <c r="F30" s="24"/>
      <c r="G30" s="24"/>
      <c r="H30" s="24"/>
      <c r="I30" s="24"/>
      <c r="J30" s="25"/>
      <c r="L30" s="7"/>
      <c r="M30" s="8"/>
      <c r="N30" s="4"/>
    </row>
    <row r="31" spans="3:14" x14ac:dyDescent="0.3">
      <c r="L31" s="7"/>
      <c r="M31" s="8"/>
      <c r="N31" s="4"/>
    </row>
    <row r="32" spans="3:14" x14ac:dyDescent="0.3">
      <c r="C32" t="s">
        <v>39</v>
      </c>
      <c r="D32" s="13" t="s">
        <v>40</v>
      </c>
      <c r="E32" t="s">
        <v>26</v>
      </c>
      <c r="F32" t="s">
        <v>27</v>
      </c>
      <c r="G32" s="13" t="s">
        <v>22</v>
      </c>
      <c r="H32" s="13" t="s">
        <v>23</v>
      </c>
      <c r="J32" s="13" t="s">
        <v>43</v>
      </c>
      <c r="L32" s="7"/>
      <c r="M32" s="8"/>
      <c r="N32" s="4"/>
    </row>
    <row r="33" spans="2:14" x14ac:dyDescent="0.3">
      <c r="C33" s="21">
        <v>400</v>
      </c>
      <c r="D33" s="19">
        <f t="shared" ref="D33:D43" si="0">S</f>
        <v>639</v>
      </c>
      <c r="E33" s="18">
        <f t="shared" ref="E33:E43" si="1">(LN(C33/D33)+(r_+σ^2/2)*T)/(σ*SQRT(5))</f>
        <v>-4.984927054400632E-2</v>
      </c>
      <c r="F33" s="18">
        <f t="shared" ref="F33:F43" si="2">E33-σ*SQRT(5)</f>
        <v>-0.72066966379394326</v>
      </c>
      <c r="G33" s="19">
        <f t="shared" ref="G33:G43" si="3">(C33*_xlfn.NORM.DIST(E33,0,1, TRUE))-(D33*EXP(-r_*T)*_xlfn.NORM.DIST(F33,0,1,TRUE))</f>
        <v>70.038927400384594</v>
      </c>
      <c r="H33" s="19">
        <f t="shared" ref="H33:H43" si="4">D33*EXP(-r_*T)*_xlfn.NORM.DIST(-F33,0,1,TRUE)-C33*_xlfn.NORM.DIST(-E33,0,1,TRUE)</f>
        <v>188.00226057533408</v>
      </c>
      <c r="J33" s="19">
        <f>G33+D33*EXP(-r_*T)</f>
        <v>588.00226057533416</v>
      </c>
      <c r="K33" s="19">
        <f>H33+C33</f>
        <v>588.00226057533405</v>
      </c>
      <c r="M33" s="4"/>
      <c r="N33" s="4"/>
    </row>
    <row r="34" spans="2:14" x14ac:dyDescent="0.3">
      <c r="C34" s="21">
        <v>450</v>
      </c>
      <c r="D34" s="19">
        <f t="shared" si="0"/>
        <v>639</v>
      </c>
      <c r="E34" s="18">
        <f t="shared" si="1"/>
        <v>0.12573131233863011</v>
      </c>
      <c r="F34" s="18">
        <f t="shared" si="2"/>
        <v>-0.54508908091130681</v>
      </c>
      <c r="G34" s="19">
        <f t="shared" si="3"/>
        <v>95.828906092884267</v>
      </c>
      <c r="H34" s="19">
        <f t="shared" si="4"/>
        <v>163.79223926783379</v>
      </c>
      <c r="M34" s="4"/>
      <c r="N34" s="4"/>
    </row>
    <row r="35" spans="2:14" x14ac:dyDescent="0.3">
      <c r="C35" s="21">
        <v>500</v>
      </c>
      <c r="D35" s="19">
        <f t="shared" si="0"/>
        <v>639</v>
      </c>
      <c r="E35" s="18">
        <f t="shared" si="1"/>
        <v>0.28279349577551721</v>
      </c>
      <c r="F35" s="18">
        <f t="shared" si="2"/>
        <v>-0.38802689747441971</v>
      </c>
      <c r="G35" s="19">
        <f t="shared" si="3"/>
        <v>124.89801417414091</v>
      </c>
      <c r="H35" s="19">
        <f t="shared" si="4"/>
        <v>142.86134734909047</v>
      </c>
      <c r="M35" s="4"/>
      <c r="N35" s="4"/>
    </row>
    <row r="36" spans="2:14" x14ac:dyDescent="0.3">
      <c r="C36" s="21">
        <v>550</v>
      </c>
      <c r="D36" s="19">
        <f t="shared" si="0"/>
        <v>639</v>
      </c>
      <c r="E36" s="18">
        <f t="shared" si="1"/>
        <v>0.42487352310231591</v>
      </c>
      <c r="F36" s="18">
        <f t="shared" si="2"/>
        <v>-0.24594687014762101</v>
      </c>
      <c r="G36" s="19">
        <f t="shared" si="3"/>
        <v>156.82698008889727</v>
      </c>
      <c r="H36" s="19">
        <f t="shared" si="4"/>
        <v>124.79031326384685</v>
      </c>
      <c r="M36" s="4"/>
      <c r="N36" s="4"/>
    </row>
    <row r="37" spans="2:14" x14ac:dyDescent="0.3">
      <c r="C37" s="21">
        <v>600</v>
      </c>
      <c r="D37" s="19">
        <f t="shared" si="0"/>
        <v>639</v>
      </c>
      <c r="E37" s="18">
        <f t="shared" si="1"/>
        <v>0.55458242561209803</v>
      </c>
      <c r="F37" s="18">
        <f t="shared" si="2"/>
        <v>-0.11623796763783889</v>
      </c>
      <c r="G37" s="19">
        <f t="shared" si="3"/>
        <v>191.2293809054849</v>
      </c>
      <c r="H37" s="19">
        <f t="shared" si="4"/>
        <v>109.19271408043446</v>
      </c>
      <c r="M37" s="4"/>
      <c r="N37" s="4"/>
    </row>
    <row r="38" spans="2:14" x14ac:dyDescent="0.3">
      <c r="C38" s="21">
        <v>650</v>
      </c>
      <c r="D38" s="19">
        <f t="shared" si="0"/>
        <v>639</v>
      </c>
      <c r="E38" s="18">
        <f t="shared" si="1"/>
        <v>0.67390304925287903</v>
      </c>
      <c r="F38" s="18">
        <f t="shared" si="2"/>
        <v>3.082656002942108E-3</v>
      </c>
      <c r="G38" s="19">
        <f t="shared" si="3"/>
        <v>227.7601323199097</v>
      </c>
      <c r="H38" s="19">
        <f t="shared" si="4"/>
        <v>95.723465494859255</v>
      </c>
      <c r="L38" t="s">
        <v>34</v>
      </c>
      <c r="M38" s="4"/>
      <c r="N38" s="4"/>
    </row>
    <row r="39" spans="2:14" x14ac:dyDescent="0.3">
      <c r="C39" s="21">
        <v>700</v>
      </c>
      <c r="D39" s="19">
        <f t="shared" si="0"/>
        <v>639</v>
      </c>
      <c r="E39" s="18">
        <f t="shared" si="1"/>
        <v>0.78437669152646816</v>
      </c>
      <c r="F39" s="18">
        <f t="shared" si="2"/>
        <v>0.11355629827653124</v>
      </c>
      <c r="G39" s="19">
        <f t="shared" si="3"/>
        <v>266.11699091075292</v>
      </c>
      <c r="H39" s="19">
        <f t="shared" si="4"/>
        <v>84.080324085702443</v>
      </c>
      <c r="M39" s="4"/>
      <c r="N39" s="4"/>
    </row>
    <row r="40" spans="2:14" x14ac:dyDescent="0.3">
      <c r="C40" s="21">
        <v>750</v>
      </c>
      <c r="D40" s="19">
        <f t="shared" si="0"/>
        <v>639</v>
      </c>
      <c r="E40" s="18">
        <f t="shared" si="1"/>
        <v>0.88722519193162175</v>
      </c>
      <c r="F40" s="18">
        <f t="shared" si="2"/>
        <v>0.21640479868168483</v>
      </c>
      <c r="G40" s="19">
        <f t="shared" si="3"/>
        <v>306.03845400389002</v>
      </c>
      <c r="H40" s="19">
        <f t="shared" si="4"/>
        <v>74.001787178839606</v>
      </c>
      <c r="M40" s="4"/>
      <c r="N40" s="4"/>
    </row>
    <row r="41" spans="2:14" x14ac:dyDescent="0.3">
      <c r="C41" s="21">
        <v>800</v>
      </c>
      <c r="D41" s="19">
        <f t="shared" si="0"/>
        <v>639</v>
      </c>
      <c r="E41" s="18">
        <f t="shared" si="1"/>
        <v>0.98343353888556595</v>
      </c>
      <c r="F41" s="18">
        <f t="shared" si="2"/>
        <v>0.31261314563562903</v>
      </c>
      <c r="G41" s="19">
        <f t="shared" si="3"/>
        <v>347.30000748208352</v>
      </c>
      <c r="H41" s="19">
        <f t="shared" si="4"/>
        <v>65.263340657033069</v>
      </c>
      <c r="M41" s="4"/>
      <c r="N41" s="4"/>
    </row>
    <row r="42" spans="2:14" x14ac:dyDescent="0.3">
      <c r="C42" s="21">
        <v>850</v>
      </c>
      <c r="D42" s="19">
        <f t="shared" si="0"/>
        <v>639</v>
      </c>
      <c r="E42" s="18">
        <f t="shared" si="1"/>
        <v>1.0738073892134095</v>
      </c>
      <c r="F42" s="18">
        <f t="shared" si="2"/>
        <v>0.40298699596347254</v>
      </c>
      <c r="G42" s="19">
        <f t="shared" si="3"/>
        <v>389.70980798995197</v>
      </c>
      <c r="H42" s="19">
        <f t="shared" si="4"/>
        <v>57.673141164901395</v>
      </c>
      <c r="M42" s="4"/>
      <c r="N42" s="4"/>
    </row>
    <row r="43" spans="2:14" x14ac:dyDescent="0.3">
      <c r="C43" s="21">
        <v>900</v>
      </c>
      <c r="D43" s="19">
        <f t="shared" si="0"/>
        <v>639</v>
      </c>
      <c r="E43" s="18">
        <f t="shared" si="1"/>
        <v>1.1590141217682024</v>
      </c>
      <c r="F43" s="18">
        <f t="shared" si="2"/>
        <v>0.48819372851826548</v>
      </c>
      <c r="G43" s="19">
        <f t="shared" si="3"/>
        <v>433.10437811584222</v>
      </c>
      <c r="H43" s="19">
        <f t="shared" si="4"/>
        <v>51.067711290791749</v>
      </c>
      <c r="M43" s="4"/>
      <c r="N43" s="4"/>
    </row>
    <row r="44" spans="2:14" x14ac:dyDescent="0.3">
      <c r="M44" s="4"/>
      <c r="N44" s="4"/>
    </row>
    <row r="45" spans="2:14" x14ac:dyDescent="0.3">
      <c r="C45" s="23" t="s">
        <v>41</v>
      </c>
      <c r="D45" s="24"/>
      <c r="E45" s="24"/>
      <c r="F45" s="24"/>
      <c r="G45" s="24"/>
      <c r="H45" s="24"/>
      <c r="I45" s="24"/>
      <c r="J45" s="25"/>
      <c r="M45" s="4"/>
      <c r="N45" s="4"/>
    </row>
    <row r="46" spans="2:14" x14ac:dyDescent="0.3">
      <c r="M46" s="4"/>
      <c r="N46" s="4"/>
    </row>
    <row r="47" spans="2:14" x14ac:dyDescent="0.3">
      <c r="M47" s="4"/>
      <c r="N47" s="4"/>
    </row>
    <row r="48" spans="2:14" x14ac:dyDescent="0.3">
      <c r="B48" s="13" t="s">
        <v>42</v>
      </c>
      <c r="D48" s="22">
        <f>C33</f>
        <v>400</v>
      </c>
      <c r="E48" s="22">
        <f>C35</f>
        <v>500</v>
      </c>
      <c r="F48" s="22">
        <f>C37</f>
        <v>600</v>
      </c>
      <c r="G48" s="22">
        <f>C39</f>
        <v>700</v>
      </c>
      <c r="H48" s="22">
        <f>C41</f>
        <v>800</v>
      </c>
      <c r="I48" s="22">
        <f>C43</f>
        <v>900</v>
      </c>
      <c r="M48" s="4"/>
      <c r="N48" s="4"/>
    </row>
    <row r="49" spans="3:14" x14ac:dyDescent="0.3">
      <c r="C49" s="13">
        <v>1</v>
      </c>
      <c r="D49" s="19">
        <f t="shared" ref="D49:I53" si="5">(D$48*_xlfn.NORM.DIST((LN(D$48/K)+(r_+σ^2/2)*$C49)/(σ*SQRT($C49)),0,1, TRUE))-(K*EXP(-r_*$C49)*_xlfn.NORM.DIST(((LN(D$48/K)+(r_+σ^2/2)*$C49)/(σ*SQRT($C49))-σ*SQRT($C49)),0,1,TRUE))</f>
        <v>5.1521441569262763</v>
      </c>
      <c r="E49" s="19">
        <f t="shared" si="5"/>
        <v>24.481353264745962</v>
      </c>
      <c r="F49" s="19">
        <f t="shared" si="5"/>
        <v>66.115849182024959</v>
      </c>
      <c r="G49" s="19">
        <f t="shared" si="5"/>
        <v>129.41879261727922</v>
      </c>
      <c r="H49" s="19">
        <f t="shared" si="5"/>
        <v>208.65691518847007</v>
      </c>
      <c r="I49" s="19">
        <f t="shared" si="5"/>
        <v>297.74609381851565</v>
      </c>
      <c r="M49" s="4"/>
      <c r="N49" s="4"/>
    </row>
    <row r="50" spans="3:14" x14ac:dyDescent="0.3">
      <c r="C50" s="13">
        <v>2</v>
      </c>
      <c r="D50" s="19">
        <f t="shared" si="5"/>
        <v>20.144579213030994</v>
      </c>
      <c r="E50" s="19">
        <f t="shared" si="5"/>
        <v>53.999561207150407</v>
      </c>
      <c r="F50" s="19">
        <f t="shared" si="5"/>
        <v>106.11134322237606</v>
      </c>
      <c r="G50" s="19">
        <f t="shared" si="5"/>
        <v>173.31638714985382</v>
      </c>
      <c r="H50" s="19">
        <f t="shared" si="5"/>
        <v>251.62534117698851</v>
      </c>
      <c r="I50" s="19">
        <f t="shared" si="5"/>
        <v>337.57001573043198</v>
      </c>
      <c r="M50" s="4"/>
      <c r="N50" s="4"/>
    </row>
    <row r="51" spans="3:14" x14ac:dyDescent="0.3">
      <c r="C51" s="13">
        <v>3</v>
      </c>
      <c r="D51" s="19">
        <f t="shared" si="5"/>
        <v>37.05503752686289</v>
      </c>
      <c r="E51" s="19">
        <f t="shared" si="5"/>
        <v>80.103036926480172</v>
      </c>
      <c r="F51" s="19">
        <f t="shared" si="5"/>
        <v>138.41667276571187</v>
      </c>
      <c r="G51" s="19">
        <f t="shared" si="5"/>
        <v>208.65607029859376</v>
      </c>
      <c r="H51" s="19">
        <f t="shared" si="5"/>
        <v>287.66972581270073</v>
      </c>
      <c r="I51" s="19">
        <f t="shared" si="5"/>
        <v>372.9392555051146</v>
      </c>
      <c r="M51" s="4"/>
      <c r="N51" s="4"/>
    </row>
    <row r="52" spans="3:14" x14ac:dyDescent="0.3">
      <c r="C52" s="13">
        <v>4</v>
      </c>
      <c r="D52" s="19">
        <f t="shared" si="5"/>
        <v>53.855859126750303</v>
      </c>
      <c r="E52" s="19">
        <f t="shared" si="5"/>
        <v>103.54430912523222</v>
      </c>
      <c r="F52" s="19">
        <f t="shared" si="5"/>
        <v>166.34100696551786</v>
      </c>
      <c r="G52" s="19">
        <f t="shared" si="5"/>
        <v>239.08670078174254</v>
      </c>
      <c r="H52" s="19">
        <f t="shared" si="5"/>
        <v>319.15245555193752</v>
      </c>
      <c r="I52" s="19">
        <f t="shared" si="5"/>
        <v>404.53315466694232</v>
      </c>
      <c r="M52" s="4"/>
      <c r="N52" s="4"/>
    </row>
    <row r="53" spans="3:14" x14ac:dyDescent="0.3">
      <c r="C53" s="13">
        <v>5</v>
      </c>
      <c r="D53" s="19">
        <f t="shared" si="5"/>
        <v>70.038927400384594</v>
      </c>
      <c r="E53" s="19">
        <f t="shared" si="5"/>
        <v>124.89801417414091</v>
      </c>
      <c r="F53" s="19">
        <f t="shared" si="5"/>
        <v>191.2293809054849</v>
      </c>
      <c r="G53" s="19">
        <f t="shared" si="5"/>
        <v>266.11699091075292</v>
      </c>
      <c r="H53" s="19">
        <f t="shared" si="5"/>
        <v>347.30000748208352</v>
      </c>
      <c r="I53" s="19">
        <f t="shared" si="5"/>
        <v>433.10437811584222</v>
      </c>
      <c r="M53" s="4"/>
      <c r="N53" s="4"/>
    </row>
    <row r="54" spans="3:14" x14ac:dyDescent="0.3">
      <c r="M54" s="4"/>
      <c r="N54" s="4"/>
    </row>
    <row r="55" spans="3:14" x14ac:dyDescent="0.3">
      <c r="M55" s="4"/>
      <c r="N55" s="4"/>
    </row>
    <row r="56" spans="3:14" x14ac:dyDescent="0.3">
      <c r="M56" s="4"/>
      <c r="N56" s="4"/>
    </row>
    <row r="57" spans="3:14" x14ac:dyDescent="0.3">
      <c r="L57" s="10"/>
      <c r="M57" s="10"/>
      <c r="N57" s="11"/>
    </row>
    <row r="58" spans="3:14" x14ac:dyDescent="0.3">
      <c r="L58" s="12"/>
      <c r="M58" s="1"/>
      <c r="N58" s="12"/>
    </row>
    <row r="59" spans="3:14" x14ac:dyDescent="0.3">
      <c r="L59" s="1"/>
      <c r="M59" s="1"/>
      <c r="N59" s="1"/>
    </row>
    <row r="60" spans="3:14" x14ac:dyDescent="0.3">
      <c r="L60" s="1"/>
      <c r="M60" s="1"/>
      <c r="N60" s="1"/>
    </row>
    <row r="61" spans="3:14" x14ac:dyDescent="0.3">
      <c r="L61" s="1"/>
      <c r="M61" s="1"/>
      <c r="N61" s="1"/>
    </row>
    <row r="62" spans="3:14" x14ac:dyDescent="0.3">
      <c r="L62" s="1"/>
      <c r="M62" s="1"/>
      <c r="N62" s="1"/>
    </row>
    <row r="63" spans="3:14" x14ac:dyDescent="0.3">
      <c r="L63" s="1"/>
      <c r="M63" s="1"/>
      <c r="N63" s="1"/>
    </row>
    <row r="64" spans="3:14" x14ac:dyDescent="0.3">
      <c r="L64" s="1"/>
      <c r="M64" s="1"/>
      <c r="N64" s="1"/>
    </row>
    <row r="65" spans="12:14" x14ac:dyDescent="0.3">
      <c r="L65" s="1"/>
      <c r="M65" s="1"/>
      <c r="N65" s="1"/>
    </row>
    <row r="66" spans="12:14" x14ac:dyDescent="0.3">
      <c r="L66" s="1"/>
      <c r="M66" s="1"/>
      <c r="N66" s="1"/>
    </row>
    <row r="67" spans="12:14" x14ac:dyDescent="0.3">
      <c r="L67" s="1"/>
      <c r="M67" s="1"/>
      <c r="N67" s="1"/>
    </row>
    <row r="68" spans="12:14" x14ac:dyDescent="0.3">
      <c r="L68" s="1"/>
      <c r="M68" s="1"/>
      <c r="N68" s="1"/>
    </row>
    <row r="69" spans="12:14" x14ac:dyDescent="0.3">
      <c r="L69" s="1"/>
      <c r="M69" s="1"/>
      <c r="N69" s="1"/>
    </row>
    <row r="70" spans="12:14" x14ac:dyDescent="0.3">
      <c r="L70" s="1"/>
      <c r="M70" s="1"/>
      <c r="N70" s="1"/>
    </row>
    <row r="71" spans="12:14" x14ac:dyDescent="0.3">
      <c r="L71" s="1"/>
      <c r="M71" s="1"/>
      <c r="N71" s="1"/>
    </row>
    <row r="72" spans="12:14" x14ac:dyDescent="0.3">
      <c r="L72" s="1"/>
      <c r="M72" s="1"/>
      <c r="N72" s="1"/>
    </row>
    <row r="73" spans="12:14" x14ac:dyDescent="0.3">
      <c r="L73" s="1"/>
      <c r="M73" s="1"/>
      <c r="N73" s="1"/>
    </row>
    <row r="74" spans="12:14" x14ac:dyDescent="0.3">
      <c r="L74" s="1"/>
      <c r="M74" s="1"/>
      <c r="N74" s="1"/>
    </row>
    <row r="75" spans="12:14" x14ac:dyDescent="0.3">
      <c r="L75" s="1"/>
      <c r="M75" s="1"/>
      <c r="N75" s="1"/>
    </row>
    <row r="76" spans="12:14" x14ac:dyDescent="0.3">
      <c r="L76" s="1"/>
      <c r="M76" s="1"/>
      <c r="N76" s="1"/>
    </row>
    <row r="77" spans="12:14" x14ac:dyDescent="0.3">
      <c r="L77" s="1"/>
      <c r="M77" s="1"/>
      <c r="N77" s="1"/>
    </row>
    <row r="78" spans="12:14" x14ac:dyDescent="0.3">
      <c r="L78" s="1"/>
      <c r="M78" s="1"/>
      <c r="N78" s="1"/>
    </row>
    <row r="79" spans="12:14" x14ac:dyDescent="0.3">
      <c r="L79" s="1"/>
      <c r="M79" s="1"/>
      <c r="N79" s="1"/>
    </row>
    <row r="80" spans="12:14" x14ac:dyDescent="0.3">
      <c r="L80" s="1"/>
      <c r="M80" s="1"/>
      <c r="N80" s="1"/>
    </row>
    <row r="81" spans="12:14" x14ac:dyDescent="0.3">
      <c r="L81" s="1"/>
      <c r="M81" s="1"/>
      <c r="N81" s="1"/>
    </row>
    <row r="82" spans="12:14" x14ac:dyDescent="0.3">
      <c r="L82" s="1"/>
      <c r="M82" s="1"/>
      <c r="N82" s="1"/>
    </row>
    <row r="83" spans="12:14" x14ac:dyDescent="0.3">
      <c r="L83" s="1"/>
      <c r="M83" s="1"/>
      <c r="N83" s="1"/>
    </row>
    <row r="84" spans="12:14" x14ac:dyDescent="0.3">
      <c r="L84" s="1"/>
      <c r="M84" s="1"/>
      <c r="N84" s="1"/>
    </row>
    <row r="85" spans="12:14" x14ac:dyDescent="0.3">
      <c r="L85" s="1"/>
      <c r="M85" s="1"/>
      <c r="N85" s="1"/>
    </row>
    <row r="86" spans="12:14" x14ac:dyDescent="0.3">
      <c r="L86" s="1"/>
      <c r="M86" s="1"/>
      <c r="N86" s="1"/>
    </row>
    <row r="87" spans="12:14" x14ac:dyDescent="0.3">
      <c r="L87" s="1"/>
      <c r="M87" s="1"/>
      <c r="N87" s="1"/>
    </row>
    <row r="88" spans="12:14" x14ac:dyDescent="0.3">
      <c r="L88" s="1"/>
      <c r="M88" s="1"/>
      <c r="N88" s="1"/>
    </row>
    <row r="89" spans="12:14" x14ac:dyDescent="0.3">
      <c r="L89" s="1"/>
      <c r="M89" s="1"/>
      <c r="N89" s="1"/>
    </row>
    <row r="90" spans="12:14" x14ac:dyDescent="0.3">
      <c r="L90" s="1"/>
      <c r="M90" s="1"/>
      <c r="N90" s="1"/>
    </row>
    <row r="91" spans="12:14" x14ac:dyDescent="0.3">
      <c r="L91" s="1"/>
      <c r="M91" s="1"/>
      <c r="N91" s="1"/>
    </row>
    <row r="92" spans="12:14" x14ac:dyDescent="0.3">
      <c r="L92" s="1"/>
      <c r="M92" s="1"/>
      <c r="N92" s="1"/>
    </row>
    <row r="93" spans="12:14" x14ac:dyDescent="0.3">
      <c r="L93" s="1"/>
      <c r="M93" s="1"/>
      <c r="N93" s="1"/>
    </row>
    <row r="94" spans="12:14" x14ac:dyDescent="0.3">
      <c r="L94" s="1"/>
      <c r="M94" s="1"/>
      <c r="N94" s="1"/>
    </row>
    <row r="95" spans="12:14" x14ac:dyDescent="0.3">
      <c r="L95" s="1"/>
      <c r="M95" s="1"/>
      <c r="N95" s="1"/>
    </row>
    <row r="96" spans="12:14" x14ac:dyDescent="0.3">
      <c r="L96" s="1"/>
      <c r="M96" s="1"/>
      <c r="N96" s="1"/>
    </row>
    <row r="97" spans="12:14" x14ac:dyDescent="0.3">
      <c r="L97" s="1"/>
      <c r="M97" s="1"/>
      <c r="N97" s="1"/>
    </row>
    <row r="98" spans="12:14" x14ac:dyDescent="0.3">
      <c r="L98" s="1"/>
      <c r="M98" s="1"/>
      <c r="N98" s="1"/>
    </row>
    <row r="99" spans="12:14" x14ac:dyDescent="0.3">
      <c r="L99" s="1"/>
      <c r="M99" s="1"/>
      <c r="N99" s="1"/>
    </row>
    <row r="100" spans="12:14" x14ac:dyDescent="0.3">
      <c r="L100" s="1"/>
      <c r="M100" s="1"/>
      <c r="N100" s="1"/>
    </row>
    <row r="101" spans="12:14" x14ac:dyDescent="0.3">
      <c r="L101" s="1"/>
      <c r="M101" s="1"/>
      <c r="N101" s="1"/>
    </row>
    <row r="102" spans="12:14" x14ac:dyDescent="0.3">
      <c r="L102" s="1"/>
      <c r="M102" s="1"/>
      <c r="N102" s="1"/>
    </row>
    <row r="103" spans="12:14" x14ac:dyDescent="0.3">
      <c r="L103" s="1"/>
      <c r="M103" s="1"/>
      <c r="N103" s="1"/>
    </row>
    <row r="104" spans="12:14" x14ac:dyDescent="0.3">
      <c r="L104" s="1"/>
      <c r="M104" s="1"/>
      <c r="N104" s="1"/>
    </row>
    <row r="105" spans="12:14" x14ac:dyDescent="0.3">
      <c r="L105" s="1"/>
      <c r="M105" s="1"/>
      <c r="N105" s="1"/>
    </row>
    <row r="106" spans="12:14" x14ac:dyDescent="0.3">
      <c r="L106" s="1"/>
      <c r="M106" s="1"/>
      <c r="N106" s="1"/>
    </row>
    <row r="107" spans="12:14" x14ac:dyDescent="0.3">
      <c r="L107" s="1"/>
      <c r="M107" s="1"/>
      <c r="N107" s="1"/>
    </row>
    <row r="108" spans="12:14" x14ac:dyDescent="0.3">
      <c r="L108" s="1"/>
      <c r="M108" s="1"/>
      <c r="N108" s="1"/>
    </row>
    <row r="109" spans="12:14" x14ac:dyDescent="0.3">
      <c r="L109" s="1"/>
      <c r="M109" s="1"/>
      <c r="N109" s="1"/>
    </row>
    <row r="110" spans="12:14" x14ac:dyDescent="0.3">
      <c r="L110" s="1"/>
      <c r="M110" s="1"/>
      <c r="N110" s="1"/>
    </row>
    <row r="111" spans="12:14" x14ac:dyDescent="0.3">
      <c r="L111" s="1"/>
      <c r="M111" s="1"/>
      <c r="N111" s="1"/>
    </row>
    <row r="112" spans="12:14" x14ac:dyDescent="0.3">
      <c r="L112" s="1"/>
      <c r="M112" s="1"/>
      <c r="N112" s="1"/>
    </row>
    <row r="113" spans="12:14" x14ac:dyDescent="0.3">
      <c r="L113" s="1"/>
      <c r="M113" s="1"/>
      <c r="N113" s="1"/>
    </row>
    <row r="114" spans="12:14" x14ac:dyDescent="0.3">
      <c r="L114" s="1"/>
      <c r="M114" s="1"/>
      <c r="N114" s="1"/>
    </row>
    <row r="115" spans="12:14" x14ac:dyDescent="0.3">
      <c r="L115" s="1"/>
      <c r="M115" s="1"/>
      <c r="N115" s="1"/>
    </row>
    <row r="116" spans="12:14" x14ac:dyDescent="0.3">
      <c r="L116" s="1"/>
      <c r="M116" s="1"/>
      <c r="N116" s="1"/>
    </row>
    <row r="117" spans="12:14" x14ac:dyDescent="0.3">
      <c r="L117" s="1"/>
      <c r="M117" s="1"/>
      <c r="N117" s="1"/>
    </row>
    <row r="118" spans="12:14" x14ac:dyDescent="0.3">
      <c r="L118" s="1"/>
      <c r="M118" s="1"/>
      <c r="N118" s="1"/>
    </row>
    <row r="119" spans="12:14" x14ac:dyDescent="0.3">
      <c r="L119" s="1"/>
      <c r="M119" s="1"/>
      <c r="N119" s="1"/>
    </row>
    <row r="120" spans="12:14" x14ac:dyDescent="0.3">
      <c r="L120" s="1"/>
      <c r="M120" s="1"/>
      <c r="N120" s="1"/>
    </row>
    <row r="121" spans="12:14" x14ac:dyDescent="0.3">
      <c r="L121" s="1"/>
      <c r="M121" s="1"/>
      <c r="N121" s="1"/>
    </row>
    <row r="122" spans="12:14" x14ac:dyDescent="0.3">
      <c r="L122" s="1"/>
      <c r="M122" s="1"/>
      <c r="N122" s="1"/>
    </row>
    <row r="123" spans="12:14" x14ac:dyDescent="0.3">
      <c r="L123" s="1"/>
      <c r="M123" s="1"/>
      <c r="N123" s="1"/>
    </row>
    <row r="124" spans="12:14" x14ac:dyDescent="0.3">
      <c r="L124" s="1"/>
      <c r="M124" s="1"/>
      <c r="N124" s="1"/>
    </row>
    <row r="125" spans="12:14" x14ac:dyDescent="0.3">
      <c r="L125" s="1"/>
      <c r="M125" s="1"/>
      <c r="N125" s="1"/>
    </row>
    <row r="126" spans="12:14" x14ac:dyDescent="0.3">
      <c r="L126" s="1"/>
      <c r="M126" s="1"/>
      <c r="N126" s="1"/>
    </row>
    <row r="127" spans="12:14" x14ac:dyDescent="0.3">
      <c r="L127" s="1"/>
      <c r="M127" s="1"/>
      <c r="N127" s="1"/>
    </row>
    <row r="128" spans="12:14" x14ac:dyDescent="0.3">
      <c r="L128" s="1"/>
      <c r="M128" s="1"/>
      <c r="N128" s="1"/>
    </row>
    <row r="129" spans="12:14" x14ac:dyDescent="0.3">
      <c r="L129" s="1"/>
      <c r="M129" s="1"/>
      <c r="N129" s="1"/>
    </row>
    <row r="130" spans="12:14" x14ac:dyDescent="0.3">
      <c r="L130" s="1"/>
      <c r="M130" s="1"/>
      <c r="N130" s="1"/>
    </row>
    <row r="131" spans="12:14" x14ac:dyDescent="0.3">
      <c r="L131" s="1"/>
      <c r="M131" s="1"/>
      <c r="N131" s="1"/>
    </row>
    <row r="132" spans="12:14" x14ac:dyDescent="0.3">
      <c r="L132" s="1"/>
      <c r="M132" s="1"/>
      <c r="N132" s="1"/>
    </row>
    <row r="133" spans="12:14" x14ac:dyDescent="0.3">
      <c r="L133" s="1"/>
      <c r="M133" s="1"/>
      <c r="N133" s="1"/>
    </row>
    <row r="134" spans="12:14" x14ac:dyDescent="0.3">
      <c r="L134" s="1"/>
      <c r="M134" s="1"/>
      <c r="N134" s="1"/>
    </row>
    <row r="135" spans="12:14" x14ac:dyDescent="0.3">
      <c r="L135" s="1"/>
      <c r="M135" s="1"/>
      <c r="N135" s="1"/>
    </row>
    <row r="136" spans="12:14" x14ac:dyDescent="0.3">
      <c r="L136" s="1"/>
      <c r="M136" s="1"/>
      <c r="N136" s="1"/>
    </row>
    <row r="137" spans="12:14" x14ac:dyDescent="0.3">
      <c r="L137" s="1"/>
      <c r="M137" s="1"/>
      <c r="N137" s="1"/>
    </row>
    <row r="138" spans="12:14" x14ac:dyDescent="0.3">
      <c r="L138" s="1"/>
      <c r="M138" s="1"/>
      <c r="N138" s="1"/>
    </row>
    <row r="139" spans="12:14" x14ac:dyDescent="0.3">
      <c r="L139" s="1"/>
      <c r="M139" s="1"/>
      <c r="N139" s="1"/>
    </row>
    <row r="140" spans="12:14" x14ac:dyDescent="0.3">
      <c r="L140" s="1"/>
      <c r="M140" s="1"/>
      <c r="N140" s="1"/>
    </row>
    <row r="141" spans="12:14" x14ac:dyDescent="0.3">
      <c r="L141" s="1"/>
      <c r="M141" s="1"/>
      <c r="N141" s="1"/>
    </row>
    <row r="142" spans="12:14" x14ac:dyDescent="0.3">
      <c r="L142" s="1"/>
      <c r="M142" s="1"/>
      <c r="N142" s="1"/>
    </row>
    <row r="143" spans="12:14" x14ac:dyDescent="0.3">
      <c r="L143" s="1"/>
      <c r="M143" s="1"/>
      <c r="N143" s="1"/>
    </row>
    <row r="144" spans="12:14" x14ac:dyDescent="0.3">
      <c r="L144" s="1"/>
      <c r="M144" s="1"/>
      <c r="N144" s="1"/>
    </row>
    <row r="145" spans="12:14" x14ac:dyDescent="0.3">
      <c r="L145" s="1"/>
      <c r="M145" s="1"/>
      <c r="N145" s="1"/>
    </row>
    <row r="146" spans="12:14" x14ac:dyDescent="0.3">
      <c r="L146" s="1"/>
      <c r="M146" s="1"/>
      <c r="N146" s="1"/>
    </row>
    <row r="147" spans="12:14" x14ac:dyDescent="0.3">
      <c r="L147" s="1"/>
      <c r="M147" s="1"/>
      <c r="N147" s="1"/>
    </row>
    <row r="148" spans="12:14" x14ac:dyDescent="0.3">
      <c r="L148" s="1"/>
      <c r="M148" s="1"/>
      <c r="N148" s="1"/>
    </row>
    <row r="149" spans="12:14" x14ac:dyDescent="0.3">
      <c r="L149" s="1"/>
      <c r="M149" s="1"/>
      <c r="N149" s="1"/>
    </row>
    <row r="150" spans="12:14" x14ac:dyDescent="0.3">
      <c r="L150" s="1"/>
      <c r="M150" s="1"/>
      <c r="N150" s="1"/>
    </row>
    <row r="151" spans="12:14" x14ac:dyDescent="0.3">
      <c r="L151" s="1"/>
      <c r="M151" s="1"/>
      <c r="N151" s="1"/>
    </row>
    <row r="152" spans="12:14" x14ac:dyDescent="0.3">
      <c r="L152" s="1"/>
      <c r="M152" s="1"/>
      <c r="N152" s="1"/>
    </row>
    <row r="153" spans="12:14" x14ac:dyDescent="0.3">
      <c r="L153" s="1"/>
      <c r="M153" s="1"/>
      <c r="N153" s="1"/>
    </row>
    <row r="154" spans="12:14" x14ac:dyDescent="0.3">
      <c r="L154" s="1"/>
      <c r="M154" s="1"/>
      <c r="N154" s="1"/>
    </row>
    <row r="155" spans="12:14" x14ac:dyDescent="0.3">
      <c r="L155" s="1"/>
      <c r="M155" s="1"/>
      <c r="N155" s="1"/>
    </row>
    <row r="156" spans="12:14" x14ac:dyDescent="0.3">
      <c r="L156" s="1"/>
      <c r="M156" s="1"/>
      <c r="N156" s="1"/>
    </row>
    <row r="157" spans="12:14" x14ac:dyDescent="0.3">
      <c r="L157" s="1"/>
      <c r="M157" s="1"/>
      <c r="N157" s="1"/>
    </row>
    <row r="158" spans="12:14" x14ac:dyDescent="0.3">
      <c r="L158" s="1"/>
      <c r="M158" s="1"/>
      <c r="N158" s="1"/>
    </row>
    <row r="159" spans="12:14" x14ac:dyDescent="0.3">
      <c r="L159" s="1"/>
      <c r="M159" s="1"/>
      <c r="N159" s="1"/>
    </row>
    <row r="160" spans="12:14" x14ac:dyDescent="0.3">
      <c r="L160" s="1"/>
      <c r="M160" s="1"/>
      <c r="N160" s="1"/>
    </row>
    <row r="161" spans="12:14" x14ac:dyDescent="0.3">
      <c r="L161" s="1"/>
      <c r="M161" s="1"/>
      <c r="N161" s="1"/>
    </row>
    <row r="162" spans="12:14" x14ac:dyDescent="0.3">
      <c r="L162" s="1"/>
      <c r="M162" s="1"/>
      <c r="N162" s="1"/>
    </row>
    <row r="163" spans="12:14" x14ac:dyDescent="0.3">
      <c r="L163" s="1"/>
      <c r="M163" s="1"/>
      <c r="N163" s="1"/>
    </row>
    <row r="164" spans="12:14" x14ac:dyDescent="0.3">
      <c r="L164" s="1"/>
      <c r="M164" s="1"/>
      <c r="N164" s="1"/>
    </row>
    <row r="165" spans="12:14" x14ac:dyDescent="0.3">
      <c r="L165" s="1"/>
      <c r="M165" s="1"/>
      <c r="N165" s="1"/>
    </row>
    <row r="166" spans="12:14" x14ac:dyDescent="0.3">
      <c r="L166" s="1"/>
      <c r="M166" s="1"/>
      <c r="N166" s="1"/>
    </row>
    <row r="167" spans="12:14" x14ac:dyDescent="0.3">
      <c r="L167" s="1"/>
      <c r="M167" s="1"/>
      <c r="N167" s="1"/>
    </row>
    <row r="168" spans="12:14" x14ac:dyDescent="0.3">
      <c r="L168" s="1"/>
      <c r="M168" s="1"/>
      <c r="N168" s="1"/>
    </row>
    <row r="169" spans="12:14" x14ac:dyDescent="0.3">
      <c r="L169" s="1"/>
      <c r="M169" s="1"/>
      <c r="N169" s="1"/>
    </row>
    <row r="170" spans="12:14" x14ac:dyDescent="0.3">
      <c r="L170" s="1"/>
      <c r="M170" s="1"/>
      <c r="N170" s="1"/>
    </row>
    <row r="171" spans="12:14" x14ac:dyDescent="0.3">
      <c r="L171" s="1"/>
      <c r="M171" s="1"/>
      <c r="N171" s="1"/>
    </row>
    <row r="172" spans="12:14" x14ac:dyDescent="0.3">
      <c r="L172" s="1"/>
      <c r="M172" s="1"/>
      <c r="N172" s="1"/>
    </row>
    <row r="173" spans="12:14" x14ac:dyDescent="0.3">
      <c r="L173" s="1"/>
      <c r="M173" s="1"/>
      <c r="N173" s="1"/>
    </row>
    <row r="174" spans="12:14" x14ac:dyDescent="0.3">
      <c r="L174" s="1"/>
      <c r="M174" s="1"/>
      <c r="N174" s="1"/>
    </row>
    <row r="175" spans="12:14" x14ac:dyDescent="0.3">
      <c r="L175" s="1"/>
      <c r="M175" s="1"/>
      <c r="N175" s="1"/>
    </row>
    <row r="176" spans="12:14" x14ac:dyDescent="0.3">
      <c r="L176" s="1"/>
      <c r="M176" s="1"/>
      <c r="N176" s="1"/>
    </row>
    <row r="177" spans="12:14" x14ac:dyDescent="0.3">
      <c r="L177" s="1"/>
      <c r="M177" s="1"/>
      <c r="N177" s="1"/>
    </row>
    <row r="178" spans="12:14" x14ac:dyDescent="0.3">
      <c r="L178" s="1"/>
      <c r="M178" s="1"/>
      <c r="N178" s="1"/>
    </row>
    <row r="179" spans="12:14" x14ac:dyDescent="0.3">
      <c r="L179" s="1"/>
      <c r="M179" s="1"/>
      <c r="N179" s="1"/>
    </row>
    <row r="180" spans="12:14" x14ac:dyDescent="0.3">
      <c r="L180" s="1"/>
      <c r="M180" s="1"/>
      <c r="N180" s="1"/>
    </row>
    <row r="181" spans="12:14" x14ac:dyDescent="0.3">
      <c r="L181" s="1"/>
      <c r="M181" s="1"/>
      <c r="N181" s="1"/>
    </row>
    <row r="182" spans="12:14" x14ac:dyDescent="0.3">
      <c r="L182" s="1"/>
      <c r="M182" s="1"/>
      <c r="N182" s="1"/>
    </row>
    <row r="183" spans="12:14" x14ac:dyDescent="0.3">
      <c r="L183" s="1"/>
      <c r="M183" s="1"/>
      <c r="N183" s="1"/>
    </row>
    <row r="184" spans="12:14" x14ac:dyDescent="0.3">
      <c r="L184" s="1"/>
      <c r="M184" s="1"/>
      <c r="N184" s="1"/>
    </row>
    <row r="185" spans="12:14" x14ac:dyDescent="0.3">
      <c r="L185" s="1"/>
      <c r="M185" s="1"/>
      <c r="N185" s="1"/>
    </row>
    <row r="186" spans="12:14" x14ac:dyDescent="0.3">
      <c r="L186" s="1"/>
      <c r="M186" s="1"/>
      <c r="N186" s="1"/>
    </row>
    <row r="187" spans="12:14" x14ac:dyDescent="0.3">
      <c r="L187" s="1"/>
      <c r="M187" s="1"/>
      <c r="N187" s="1"/>
    </row>
    <row r="188" spans="12:14" x14ac:dyDescent="0.3">
      <c r="L188" s="1"/>
      <c r="M188" s="1"/>
      <c r="N188" s="1"/>
    </row>
    <row r="189" spans="12:14" x14ac:dyDescent="0.3">
      <c r="L189" s="1"/>
      <c r="M189" s="1"/>
      <c r="N189" s="1"/>
    </row>
    <row r="190" spans="12:14" x14ac:dyDescent="0.3">
      <c r="L190" s="1"/>
      <c r="M190" s="1"/>
      <c r="N190" s="1"/>
    </row>
    <row r="191" spans="12:14" x14ac:dyDescent="0.3">
      <c r="L191" s="1"/>
      <c r="M191" s="1"/>
      <c r="N191" s="1"/>
    </row>
    <row r="192" spans="12:14" x14ac:dyDescent="0.3">
      <c r="L192" s="1"/>
      <c r="M192" s="1"/>
      <c r="N192" s="1"/>
    </row>
    <row r="193" spans="12:14" x14ac:dyDescent="0.3">
      <c r="L193" s="1"/>
      <c r="M193" s="1"/>
      <c r="N193" s="1"/>
    </row>
    <row r="194" spans="12:14" x14ac:dyDescent="0.3">
      <c r="L194" s="1"/>
      <c r="M194" s="1"/>
      <c r="N194" s="1"/>
    </row>
    <row r="195" spans="12:14" x14ac:dyDescent="0.3">
      <c r="L195" s="1"/>
      <c r="M195" s="1"/>
      <c r="N195" s="1"/>
    </row>
    <row r="196" spans="12:14" x14ac:dyDescent="0.3">
      <c r="L196" s="1"/>
      <c r="M196" s="1"/>
      <c r="N196" s="1"/>
    </row>
    <row r="197" spans="12:14" x14ac:dyDescent="0.3">
      <c r="L197" s="1"/>
      <c r="M197" s="1"/>
      <c r="N197" s="1"/>
    </row>
    <row r="198" spans="12:14" x14ac:dyDescent="0.3">
      <c r="L198" s="1"/>
      <c r="M198" s="1"/>
      <c r="N198" s="1"/>
    </row>
    <row r="199" spans="12:14" x14ac:dyDescent="0.3">
      <c r="L199" s="1"/>
      <c r="M199" s="1"/>
      <c r="N199" s="1"/>
    </row>
    <row r="200" spans="12:14" x14ac:dyDescent="0.3">
      <c r="L200" s="1"/>
      <c r="M200" s="1"/>
      <c r="N200" s="1"/>
    </row>
    <row r="201" spans="12:14" x14ac:dyDescent="0.3">
      <c r="L201" s="1"/>
      <c r="M201" s="1"/>
      <c r="N201" s="1"/>
    </row>
    <row r="202" spans="12:14" x14ac:dyDescent="0.3">
      <c r="L202" s="1"/>
      <c r="M202" s="1"/>
      <c r="N202" s="1"/>
    </row>
    <row r="203" spans="12:14" x14ac:dyDescent="0.3">
      <c r="L203" s="1"/>
      <c r="M203" s="1"/>
      <c r="N203" s="1"/>
    </row>
    <row r="204" spans="12:14" x14ac:dyDescent="0.3">
      <c r="L204" s="1"/>
      <c r="M204" s="1"/>
      <c r="N204" s="1"/>
    </row>
    <row r="205" spans="12:14" x14ac:dyDescent="0.3">
      <c r="L205" s="1"/>
      <c r="M205" s="1"/>
      <c r="N205" s="1"/>
    </row>
  </sheetData>
  <mergeCells count="5">
    <mergeCell ref="C45:J45"/>
    <mergeCell ref="C16:F16"/>
    <mergeCell ref="C8:F8"/>
    <mergeCell ref="H8:K8"/>
    <mergeCell ref="C30:J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d1_</vt:lpstr>
      <vt:lpstr>d2_</vt:lpstr>
      <vt:lpstr>K</vt:lpstr>
      <vt:lpstr>r_</vt:lpstr>
      <vt:lpstr>S</vt:lpstr>
      <vt:lpstr>T</vt:lpstr>
      <vt:lpstr>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Mohanad A</cp:lastModifiedBy>
  <dcterms:created xsi:type="dcterms:W3CDTF">2026-02-17T06:26:28Z</dcterms:created>
  <dcterms:modified xsi:type="dcterms:W3CDTF">2026-02-27T17:11:48Z</dcterms:modified>
</cp:coreProperties>
</file>