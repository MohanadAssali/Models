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5B0D213-A9A8-4A9A-AE51-C98FE3345036}" xr6:coauthVersionLast="47" xr6:coauthVersionMax="47" xr10:uidLastSave="{00000000-0000-0000-0000-000000000000}"/>
  <bookViews>
    <workbookView xWindow="-26415" yWindow="2580" windowWidth="20265" windowHeight="12255" xr2:uid="{E1435971-A588-45C3-BB00-83ACB915F087}"/>
  </bookViews>
  <sheets>
    <sheet name="IVSurface" sheetId="1" r:id="rId1"/>
  </sheets>
  <definedNames>
    <definedName name="q">IVSurface!$F$11</definedName>
    <definedName name="r_">IVSurface!$F$10</definedName>
    <definedName name="S">IVSurface!$F$9</definedName>
    <definedName name="σ">IVSurface!$F$12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6" i="1" l="1"/>
  <c r="G46" i="1"/>
  <c r="F46" i="1"/>
  <c r="E46" i="1"/>
  <c r="D51" i="1"/>
  <c r="D50" i="1"/>
  <c r="D49" i="1"/>
  <c r="D48" i="1"/>
  <c r="D47" i="1"/>
  <c r="E51" i="1"/>
  <c r="E50" i="1"/>
  <c r="E49" i="1"/>
  <c r="E48" i="1"/>
  <c r="E47" i="1"/>
  <c r="I9" i="1"/>
  <c r="E21" i="1"/>
  <c r="F21" i="1"/>
  <c r="G21" i="1"/>
  <c r="H21" i="1"/>
  <c r="E22" i="1"/>
  <c r="F22" i="1"/>
  <c r="G22" i="1"/>
  <c r="H22" i="1"/>
  <c r="E23" i="1"/>
  <c r="F23" i="1"/>
  <c r="G23" i="1"/>
  <c r="H23" i="1"/>
  <c r="E24" i="1"/>
  <c r="F24" i="1"/>
  <c r="G24" i="1"/>
  <c r="H24" i="1"/>
  <c r="F20" i="1"/>
  <c r="G20" i="1"/>
  <c r="H20" i="1"/>
  <c r="E20" i="1"/>
  <c r="I10" i="1" l="1"/>
  <c r="I11" i="1" s="1"/>
</calcChain>
</file>

<file path=xl/sharedStrings.xml><?xml version="1.0" encoding="utf-8"?>
<sst xmlns="http://schemas.openxmlformats.org/spreadsheetml/2006/main" count="33" uniqueCount="27">
  <si>
    <t>Inputs</t>
  </si>
  <si>
    <t>Underlying price</t>
  </si>
  <si>
    <t>Risk Free Rate</t>
  </si>
  <si>
    <t>σ</t>
  </si>
  <si>
    <t>Calculations</t>
  </si>
  <si>
    <t>each figure defined as symbol</t>
  </si>
  <si>
    <t>d1</t>
  </si>
  <si>
    <t>d2</t>
  </si>
  <si>
    <t>Mohanad Assali</t>
  </si>
  <si>
    <t>Strike Prices</t>
  </si>
  <si>
    <t>Time to Expiry</t>
  </si>
  <si>
    <t>q</t>
  </si>
  <si>
    <t>Dividend Yield</t>
  </si>
  <si>
    <t>Sigma</t>
  </si>
  <si>
    <t>BSM price</t>
  </si>
  <si>
    <t>Underlying_Price * EXP(-Dividend_Yield * Input_Time) * NORM.S.DIST(D1, TRUE) - Input_Strike * EXP(-Risk_Free_Rate * Input_Time) * NORM.S.DIST(D2, TRUE)</t>
  </si>
  <si>
    <t>D1 - Sigma * SQRT(Input_Time)</t>
  </si>
  <si>
    <t>(LN(Underlying_Price / Input_Strike) + (Risk_Free_Rate - Dividend_Yield + Sigma^2 / 2) * Input_Time) / (Sigma * SQRT(Input_Time))</t>
  </si>
  <si>
    <t>Actual Prices</t>
  </si>
  <si>
    <t>Theortical</t>
  </si>
  <si>
    <t>Implied Volatility Surface</t>
  </si>
  <si>
    <t>IVSurface</t>
  </si>
  <si>
    <t>Implied Volatility Surface (IV)</t>
  </si>
  <si>
    <t>Last Modified 3/4/2026</t>
  </si>
  <si>
    <t>S</t>
  </si>
  <si>
    <t>r</t>
  </si>
  <si>
    <t xml:space="preserve">Volatility Smile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</si>
</sst>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0" tint="-0.14999847407452621"/>
      </left>
      <right style="thin">
        <color theme="0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2" fillId="0" borderId="0" xfId="0" applyFont="1"/>
    <xf numFmtId="0" fontId="1" fillId="2" borderId="0" xfId="0" applyFont="1" applyFill="1"/>
    <xf numFmtId="0" fontId="0" fillId="0" borderId="3" xfId="0" applyBorder="1"/>
    <xf numFmtId="0" fontId="1" fillId="0" borderId="0" xfId="0" applyFont="1"/>
    <xf numFmtId="0" fontId="0" fillId="2" borderId="0" xfId="0" applyFill="1"/>
    <xf numFmtId="0" fontId="0" fillId="0" borderId="4" xfId="0" applyBorder="1"/>
    <xf numFmtId="0" fontId="0" fillId="0" borderId="5" xfId="0" applyBorder="1"/>
    <xf numFmtId="0" fontId="0" fillId="3" borderId="6" xfId="0" applyFill="1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3" fillId="0" borderId="8" xfId="0" applyFont="1" applyBorder="1"/>
    <xf numFmtId="0" fontId="4" fillId="0" borderId="8" xfId="0" applyFont="1" applyBorder="1"/>
    <xf numFmtId="0" fontId="0" fillId="0" borderId="2" xfId="0" applyBorder="1"/>
    <xf numFmtId="164" fontId="0" fillId="0" borderId="8" xfId="0" applyNumberFormat="1" applyBorder="1"/>
    <xf numFmtId="10" fontId="0" fillId="0" borderId="8" xfId="0" applyNumberFormat="1" applyBorder="1"/>
    <xf numFmtId="8" fontId="0" fillId="0" borderId="8" xfId="0" applyNumberFormat="1" applyBorder="1"/>
    <xf numFmtId="9" fontId="0" fillId="0" borderId="8" xfId="0" applyNumberFormat="1" applyBorder="1"/>
    <xf numFmtId="0" fontId="0" fillId="4" borderId="8" xfId="0" applyFill="1" applyBorder="1"/>
    <xf numFmtId="0" fontId="0" fillId="0" borderId="9" xfId="0" applyBorder="1"/>
    <xf numFmtId="9" fontId="0" fillId="0" borderId="10" xfId="0" applyNumberFormat="1" applyBorder="1"/>
    <xf numFmtId="0" fontId="0" fillId="0" borderId="10" xfId="0" applyBorder="1"/>
    <xf numFmtId="0" fontId="0" fillId="0" borderId="11" xfId="0" applyBorder="1"/>
    <xf numFmtId="0" fontId="0" fillId="4" borderId="8" xfId="0" applyFill="1" applyBorder="1" applyAlignment="1">
      <alignment wrapText="1"/>
    </xf>
    <xf numFmtId="0" fontId="3" fillId="0" borderId="0" xfId="0" applyFont="1"/>
    <xf numFmtId="0" fontId="0" fillId="0" borderId="17" xfId="0" applyBorder="1"/>
    <xf numFmtId="0" fontId="0" fillId="0" borderId="18" xfId="0" applyBorder="1"/>
    <xf numFmtId="0" fontId="0" fillId="3" borderId="0" xfId="0" applyFill="1"/>
    <xf numFmtId="0" fontId="5" fillId="4" borderId="9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 vertical="center" textRotation="45" wrapText="1"/>
    </xf>
    <xf numFmtId="0" fontId="5" fillId="4" borderId="13" xfId="0" applyFont="1" applyFill="1" applyBorder="1" applyAlignment="1">
      <alignment horizontal="center" vertical="center" textRotation="45" wrapText="1"/>
    </xf>
    <xf numFmtId="0" fontId="5" fillId="4" borderId="14" xfId="0" applyFont="1" applyFill="1" applyBorder="1" applyAlignment="1">
      <alignment horizontal="center" vertical="center" textRotation="45" wrapText="1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15" xfId="0" applyBorder="1" applyAlignment="1">
      <alignment horizontal="left" wrapText="1"/>
    </xf>
    <xf numFmtId="0" fontId="0" fillId="0" borderId="16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IV</a:t>
            </a:r>
            <a:r>
              <a:rPr lang="en-US" baseline="0"/>
              <a:t> Surface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  <c:perspective val="2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IVSurface!$E$37</c:f>
              <c:strCache>
                <c:ptCount val="1"/>
                <c:pt idx="0">
                  <c:v>0.08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IVSurface!$D$38:$D$42</c:f>
              <c:numCache>
                <c:formatCode>General</c:formatCode>
                <c:ptCount val="5"/>
                <c:pt idx="0">
                  <c:v>550</c:v>
                </c:pt>
                <c:pt idx="1">
                  <c:v>600</c:v>
                </c:pt>
                <c:pt idx="2">
                  <c:v>650</c:v>
                </c:pt>
                <c:pt idx="3">
                  <c:v>700</c:v>
                </c:pt>
                <c:pt idx="4">
                  <c:v>750</c:v>
                </c:pt>
              </c:numCache>
            </c:numRef>
          </c:cat>
          <c:val>
            <c:numRef>
              <c:f>IVSurface!$E$38:$E$42</c:f>
              <c:numCache>
                <c:formatCode>0.00%</c:formatCode>
                <c:ptCount val="5"/>
                <c:pt idx="0">
                  <c:v>0.38419999999999999</c:v>
                </c:pt>
                <c:pt idx="1">
                  <c:v>0.33100000000000002</c:v>
                </c:pt>
                <c:pt idx="2">
                  <c:v>0.28949999999999998</c:v>
                </c:pt>
                <c:pt idx="3">
                  <c:v>0.26400000000000001</c:v>
                </c:pt>
                <c:pt idx="4">
                  <c:v>0.2422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4D-45AB-B2BF-870FBD2279C7}"/>
            </c:ext>
          </c:extLst>
        </c:ser>
        <c:ser>
          <c:idx val="1"/>
          <c:order val="1"/>
          <c:tx>
            <c:strRef>
              <c:f>IVSurface!$F$37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IVSurface!$D$38:$D$42</c:f>
              <c:numCache>
                <c:formatCode>General</c:formatCode>
                <c:ptCount val="5"/>
                <c:pt idx="0">
                  <c:v>550</c:v>
                </c:pt>
                <c:pt idx="1">
                  <c:v>600</c:v>
                </c:pt>
                <c:pt idx="2">
                  <c:v>650</c:v>
                </c:pt>
                <c:pt idx="3">
                  <c:v>700</c:v>
                </c:pt>
                <c:pt idx="4">
                  <c:v>750</c:v>
                </c:pt>
              </c:numCache>
            </c:numRef>
          </c:cat>
          <c:val>
            <c:numRef>
              <c:f>IVSurface!$F$38:$F$42</c:f>
              <c:numCache>
                <c:formatCode>0.00%</c:formatCode>
                <c:ptCount val="5"/>
                <c:pt idx="0">
                  <c:v>0.34150000000000003</c:v>
                </c:pt>
                <c:pt idx="1">
                  <c:v>0.3105</c:v>
                </c:pt>
                <c:pt idx="2">
                  <c:v>0.2782</c:v>
                </c:pt>
                <c:pt idx="3">
                  <c:v>0.2515</c:v>
                </c:pt>
                <c:pt idx="4">
                  <c:v>0.23949999999999999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4D-45AB-B2BF-870FBD2279C7}"/>
            </c:ext>
          </c:extLst>
        </c:ser>
        <c:ser>
          <c:idx val="2"/>
          <c:order val="2"/>
          <c:tx>
            <c:strRef>
              <c:f>IVSurface!$G$37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IVSurface!$D$38:$D$42</c:f>
              <c:numCache>
                <c:formatCode>General</c:formatCode>
                <c:ptCount val="5"/>
                <c:pt idx="0">
                  <c:v>550</c:v>
                </c:pt>
                <c:pt idx="1">
                  <c:v>600</c:v>
                </c:pt>
                <c:pt idx="2">
                  <c:v>650</c:v>
                </c:pt>
                <c:pt idx="3">
                  <c:v>700</c:v>
                </c:pt>
                <c:pt idx="4">
                  <c:v>750</c:v>
                </c:pt>
              </c:numCache>
            </c:numRef>
          </c:cat>
          <c:val>
            <c:numRef>
              <c:f>IVSurface!$G$38:$G$42</c:f>
              <c:numCache>
                <c:formatCode>0.00%</c:formatCode>
                <c:ptCount val="5"/>
                <c:pt idx="0">
                  <c:v>0.31219999999999998</c:v>
                </c:pt>
                <c:pt idx="1">
                  <c:v>0.2918</c:v>
                </c:pt>
                <c:pt idx="2">
                  <c:v>0.27050000000000002</c:v>
                </c:pt>
                <c:pt idx="3">
                  <c:v>0.24879999999999999</c:v>
                </c:pt>
                <c:pt idx="4">
                  <c:v>0.23549999999999999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4D-45AB-B2BF-870FBD2279C7}"/>
            </c:ext>
          </c:extLst>
        </c:ser>
        <c:ser>
          <c:idx val="3"/>
          <c:order val="3"/>
          <c:tx>
            <c:strRef>
              <c:f>IVSurface!$H$37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IVSurface!$D$38:$D$42</c:f>
              <c:numCache>
                <c:formatCode>General</c:formatCode>
                <c:ptCount val="5"/>
                <c:pt idx="0">
                  <c:v>550</c:v>
                </c:pt>
                <c:pt idx="1">
                  <c:v>600</c:v>
                </c:pt>
                <c:pt idx="2">
                  <c:v>650</c:v>
                </c:pt>
                <c:pt idx="3">
                  <c:v>700</c:v>
                </c:pt>
                <c:pt idx="4">
                  <c:v>750</c:v>
                </c:pt>
              </c:numCache>
            </c:numRef>
          </c:cat>
          <c:val>
            <c:numRef>
              <c:f>IVSurface!$H$38:$H$42</c:f>
              <c:numCache>
                <c:formatCode>0.00%</c:formatCode>
                <c:ptCount val="5"/>
                <c:pt idx="0">
                  <c:v>0.29049999999999998</c:v>
                </c:pt>
                <c:pt idx="1">
                  <c:v>0.27839999999999998</c:v>
                </c:pt>
                <c:pt idx="2">
                  <c:v>0.26150000000000001</c:v>
                </c:pt>
                <c:pt idx="3">
                  <c:v>0.2432</c:v>
                </c:pt>
                <c:pt idx="4">
                  <c:v>0.23100000000000001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4D-45AB-B2BF-870FBD2279C7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331668600"/>
        <c:axId val="331669680"/>
        <c:axId val="631103296"/>
      </c:surface3DChart>
      <c:catAx>
        <c:axId val="331668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669680"/>
        <c:crosses val="autoZero"/>
        <c:auto val="1"/>
        <c:lblAlgn val="ctr"/>
        <c:lblOffset val="100"/>
        <c:noMultiLvlLbl val="0"/>
      </c:catAx>
      <c:valAx>
        <c:axId val="33166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668600"/>
        <c:crosses val="autoZero"/>
        <c:crossBetween val="midCat"/>
      </c:valAx>
      <c:serAx>
        <c:axId val="63110329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66968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Volatility</a:t>
            </a:r>
            <a:r>
              <a:rPr lang="en-US" baseline="0"/>
              <a:t> Smile</a:t>
            </a:r>
            <a:endParaRPr lang="en-US"/>
          </a:p>
        </c:rich>
      </c:tx>
      <c:layout>
        <c:manualLayout>
          <c:xMode val="edge"/>
          <c:yMode val="edge"/>
          <c:x val="0.39547356330145839"/>
          <c:y val="2.77970813064628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IVSurface!$D$47:$D$51</c:f>
              <c:numCache>
                <c:formatCode>General</c:formatCode>
                <c:ptCount val="5"/>
                <c:pt idx="0">
                  <c:v>550</c:v>
                </c:pt>
                <c:pt idx="1">
                  <c:v>600</c:v>
                </c:pt>
                <c:pt idx="2">
                  <c:v>650</c:v>
                </c:pt>
                <c:pt idx="3">
                  <c:v>700</c:v>
                </c:pt>
                <c:pt idx="4">
                  <c:v>750</c:v>
                </c:pt>
              </c:numCache>
            </c:numRef>
          </c:xVal>
          <c:yVal>
            <c:numRef>
              <c:f>IVSurface!$E$47:$E$51</c:f>
              <c:numCache>
                <c:formatCode>0.00%</c:formatCode>
                <c:ptCount val="5"/>
                <c:pt idx="0">
                  <c:v>0.38419999999999999</c:v>
                </c:pt>
                <c:pt idx="1">
                  <c:v>0.33100000000000002</c:v>
                </c:pt>
                <c:pt idx="2">
                  <c:v>0.28949999999999998</c:v>
                </c:pt>
                <c:pt idx="3">
                  <c:v>0.26400000000000001</c:v>
                </c:pt>
                <c:pt idx="4">
                  <c:v>0.2422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8C-4022-B024-18EA8760A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299408"/>
        <c:axId val="637298328"/>
      </c:scatterChart>
      <c:valAx>
        <c:axId val="637299408"/>
        <c:scaling>
          <c:orientation val="minMax"/>
          <c:min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298328"/>
        <c:crosses val="autoZero"/>
        <c:crossBetween val="midCat"/>
      </c:valAx>
      <c:valAx>
        <c:axId val="637298328"/>
        <c:scaling>
          <c:orientation val="minMax"/>
          <c:max val="0.45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299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308743</xdr:colOff>
      <xdr:row>21</xdr:row>
      <xdr:rowOff>18894</xdr:rowOff>
    </xdr:from>
    <xdr:to>
      <xdr:col>23</xdr:col>
      <xdr:colOff>8196</xdr:colOff>
      <xdr:row>36</xdr:row>
      <xdr:rowOff>34134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E169E3-8BB4-FA5A-8F84-C1118F769D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295120</xdr:colOff>
      <xdr:row>37</xdr:row>
      <xdr:rowOff>35242</xdr:rowOff>
    </xdr:from>
    <xdr:to>
      <xdr:col>22</xdr:col>
      <xdr:colOff>586985</xdr:colOff>
      <xdr:row>52</xdr:row>
      <xdr:rowOff>60007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8661D3-B142-E8DF-952D-2058EB001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5BBF-6AA0-43DB-BD59-AA520EA135B4}">
  <sheetPr codeName="Sheet1"/>
  <dimension ref="A1:Z190"/>
  <sheetViews>
    <sheetView tabSelected="1" zoomScale="86" zoomScaleNormal="86" workbookViewId="0">
      <selection activeCell="Q20" sqref="Q20"/>
    </sheetView>
  </sheetViews>
  <sheetFormatPr defaultRowHeight="14.4" x14ac:dyDescent="0.3"/>
  <cols>
    <col min="1" max="1" width="5.21875" style="15" customWidth="1"/>
    <col min="2" max="3" width="8.88671875" style="11"/>
    <col min="4" max="8" width="8.88671875" style="11" customWidth="1"/>
    <col min="9" max="11" width="8.88671875" style="11"/>
    <col min="12" max="12" width="8.88671875" customWidth="1"/>
    <col min="13" max="13" width="1.5546875" customWidth="1"/>
    <col min="14" max="14" width="1" customWidth="1"/>
    <col min="15" max="16384" width="8.88671875" style="1"/>
  </cols>
  <sheetData>
    <row r="1" spans="2:26" x14ac:dyDescent="0.3">
      <c r="B1" s="3" t="s">
        <v>23</v>
      </c>
      <c r="C1" s="3"/>
      <c r="D1" s="3"/>
      <c r="E1" s="3"/>
      <c r="F1" s="3" t="s">
        <v>22</v>
      </c>
      <c r="G1" s="3"/>
      <c r="H1" s="3"/>
      <c r="I1" s="3"/>
      <c r="J1" s="3" t="s">
        <v>8</v>
      </c>
      <c r="K1" s="3"/>
      <c r="L1" s="3"/>
      <c r="M1" s="4"/>
      <c r="N1" s="4"/>
    </row>
    <row r="2" spans="2:26" x14ac:dyDescent="0.3">
      <c r="B2" s="2" t="s">
        <v>21</v>
      </c>
      <c r="C2"/>
      <c r="D2"/>
      <c r="E2"/>
      <c r="F2"/>
      <c r="G2"/>
      <c r="H2"/>
      <c r="I2"/>
      <c r="J2"/>
      <c r="K2"/>
      <c r="M2" s="4"/>
      <c r="N2" s="4"/>
    </row>
    <row r="3" spans="2:26" x14ac:dyDescent="0.3">
      <c r="B3"/>
      <c r="C3"/>
      <c r="D3"/>
      <c r="E3"/>
      <c r="F3"/>
      <c r="G3"/>
      <c r="H3"/>
      <c r="I3"/>
      <c r="J3"/>
      <c r="K3"/>
      <c r="M3" s="4"/>
      <c r="N3" s="4"/>
    </row>
    <row r="4" spans="2:26" x14ac:dyDescent="0.3">
      <c r="B4"/>
      <c r="C4"/>
      <c r="D4"/>
      <c r="E4"/>
      <c r="F4"/>
      <c r="G4"/>
      <c r="H4"/>
      <c r="I4"/>
      <c r="M4" s="4"/>
      <c r="N4" s="4"/>
    </row>
    <row r="5" spans="2:26" x14ac:dyDescent="0.3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4"/>
      <c r="N5" s="4"/>
    </row>
    <row r="6" spans="2:26" x14ac:dyDescent="0.3">
      <c r="L6" s="5"/>
      <c r="M6" s="4"/>
      <c r="N6" s="4"/>
    </row>
    <row r="7" spans="2:26" x14ac:dyDescent="0.3">
      <c r="M7" s="4"/>
      <c r="N7" s="4"/>
    </row>
    <row r="8" spans="2:26" x14ac:dyDescent="0.3">
      <c r="C8" s="36" t="s">
        <v>0</v>
      </c>
      <c r="D8" s="37"/>
      <c r="E8" s="37"/>
      <c r="F8" s="38"/>
      <c r="H8" s="36" t="s">
        <v>4</v>
      </c>
      <c r="I8" s="37"/>
      <c r="J8" s="37"/>
      <c r="K8" s="38"/>
      <c r="M8" s="4"/>
      <c r="N8" s="4"/>
      <c r="S8" s="28"/>
      <c r="T8" s="28"/>
      <c r="U8" s="28"/>
      <c r="V8" s="28"/>
      <c r="W8" s="28"/>
      <c r="X8" s="28"/>
      <c r="Y8" s="28"/>
    </row>
    <row r="9" spans="2:26" x14ac:dyDescent="0.3">
      <c r="C9" s="11" t="s">
        <v>1</v>
      </c>
      <c r="E9" s="12" t="s">
        <v>24</v>
      </c>
      <c r="F9" s="16">
        <v>648</v>
      </c>
      <c r="G9" s="14" t="s">
        <v>5</v>
      </c>
      <c r="H9" s="11" t="s">
        <v>6</v>
      </c>
      <c r="I9">
        <f>(LN(S/D20) + (r_ - q + σ^2 / 2) * E19) / (σ * SQRT(E19))</f>
        <v>2.9721893248503894</v>
      </c>
      <c r="M9" s="4"/>
      <c r="N9" s="4"/>
      <c r="R9" s="15"/>
      <c r="S9" s="29" t="s">
        <v>17</v>
      </c>
      <c r="T9" s="29"/>
      <c r="U9" s="29"/>
      <c r="V9" s="29"/>
      <c r="W9" s="29"/>
      <c r="X9" s="29"/>
      <c r="Y9" s="29"/>
      <c r="Z9" s="27"/>
    </row>
    <row r="10" spans="2:26" x14ac:dyDescent="0.3">
      <c r="C10" s="11" t="s">
        <v>2</v>
      </c>
      <c r="E10" s="12" t="s">
        <v>25</v>
      </c>
      <c r="F10" s="17">
        <v>3.5099999999999999E-2</v>
      </c>
      <c r="H10" s="11" t="s">
        <v>7</v>
      </c>
      <c r="I10" s="11">
        <f>I9-σ*SQRT(E19)</f>
        <v>2.9156207823554658</v>
      </c>
      <c r="L10" s="7"/>
      <c r="M10" s="8"/>
      <c r="N10" s="4"/>
      <c r="R10" s="15"/>
      <c r="S10" s="29" t="s">
        <v>16</v>
      </c>
      <c r="T10" s="29"/>
      <c r="U10" s="29"/>
      <c r="V10" s="29"/>
      <c r="W10" s="29"/>
      <c r="X10" s="29"/>
      <c r="Y10" s="29"/>
      <c r="Z10" s="27"/>
    </row>
    <row r="11" spans="2:26" x14ac:dyDescent="0.3">
      <c r="C11" s="11" t="s">
        <v>12</v>
      </c>
      <c r="E11" s="12" t="s">
        <v>11</v>
      </c>
      <c r="F11" s="17">
        <v>3.0999999999999999E-3</v>
      </c>
      <c r="H11" s="11" t="s">
        <v>14</v>
      </c>
      <c r="I11" s="11">
        <f>S * EXP(-q * E19) * _xlfn.NORM.S.DIST(I9, TRUE) - D20 * EXP(-r_ * E19) * _xlfn.NORM.S.DIST(I10, TRUE)</f>
        <v>99.397232360669136</v>
      </c>
      <c r="L11" s="7"/>
      <c r="M11" s="8"/>
      <c r="N11" s="4"/>
      <c r="R11" s="15"/>
      <c r="S11" s="29" t="s">
        <v>15</v>
      </c>
      <c r="T11" s="29"/>
      <c r="U11" s="29"/>
      <c r="V11" s="29"/>
      <c r="W11" s="29"/>
      <c r="X11" s="29"/>
      <c r="Y11" s="29"/>
      <c r="Z11" s="27"/>
    </row>
    <row r="12" spans="2:26" x14ac:dyDescent="0.3">
      <c r="C12" s="39" t="s">
        <v>13</v>
      </c>
      <c r="D12" s="40"/>
      <c r="E12" s="12" t="s">
        <v>3</v>
      </c>
      <c r="F12" s="19">
        <v>0.2</v>
      </c>
      <c r="L12" s="7"/>
      <c r="M12" s="8"/>
      <c r="N12" s="4"/>
      <c r="R12" s="15"/>
      <c r="S12" s="29"/>
      <c r="T12" s="29"/>
      <c r="U12" s="29"/>
      <c r="V12" s="29"/>
      <c r="W12" s="29"/>
      <c r="X12" s="29"/>
      <c r="Y12" s="29"/>
      <c r="Z12" s="27"/>
    </row>
    <row r="13" spans="2:26" x14ac:dyDescent="0.3">
      <c r="C13"/>
      <c r="E13" s="21"/>
      <c r="F13" s="22"/>
      <c r="G13" s="23"/>
      <c r="H13" s="24"/>
      <c r="J13"/>
      <c r="L13" s="7"/>
      <c r="M13" s="8"/>
      <c r="N13" s="4"/>
      <c r="R13" s="15"/>
      <c r="S13" s="29"/>
      <c r="T13" s="29"/>
      <c r="U13" s="29"/>
      <c r="V13" s="29"/>
      <c r="W13" s="29"/>
      <c r="X13" s="29"/>
      <c r="Y13" s="29"/>
      <c r="Z13" s="27"/>
    </row>
    <row r="14" spans="2:26" x14ac:dyDescent="0.3">
      <c r="C14"/>
      <c r="E14" s="21"/>
      <c r="F14" s="22"/>
      <c r="G14" s="23"/>
      <c r="H14" s="24"/>
      <c r="L14" s="7"/>
      <c r="M14" s="8"/>
      <c r="N14" s="4"/>
      <c r="S14" s="10"/>
      <c r="T14" s="10"/>
      <c r="U14" s="10"/>
      <c r="V14" s="10"/>
      <c r="W14" s="10"/>
      <c r="X14" s="10"/>
      <c r="Y14" s="10"/>
    </row>
    <row r="15" spans="2:26" x14ac:dyDescent="0.3">
      <c r="C15"/>
      <c r="E15" s="21"/>
      <c r="F15" s="22"/>
      <c r="G15" s="23"/>
      <c r="H15" s="24"/>
      <c r="L15" s="7"/>
      <c r="M15" s="8"/>
      <c r="N15" s="4"/>
    </row>
    <row r="16" spans="2:26" x14ac:dyDescent="0.3">
      <c r="C16"/>
      <c r="E16" s="21"/>
      <c r="F16" s="22"/>
      <c r="G16" s="23"/>
      <c r="H16" s="24"/>
      <c r="L16" s="7"/>
      <c r="M16" s="8"/>
      <c r="N16" s="4"/>
    </row>
    <row r="17" spans="3:14" x14ac:dyDescent="0.3">
      <c r="C17" s="26" t="s">
        <v>19</v>
      </c>
      <c r="E17" s="21"/>
      <c r="F17" s="22"/>
      <c r="G17" s="23"/>
      <c r="H17" s="24"/>
      <c r="L17" s="7"/>
      <c r="M17" s="8"/>
      <c r="N17" s="4"/>
    </row>
    <row r="18" spans="3:14" x14ac:dyDescent="0.3">
      <c r="C18" s="25"/>
      <c r="D18" s="20"/>
      <c r="E18" s="30" t="s">
        <v>10</v>
      </c>
      <c r="F18" s="31"/>
      <c r="G18" s="31"/>
      <c r="H18" s="32"/>
      <c r="L18" s="7"/>
      <c r="M18" s="8"/>
      <c r="N18" s="4"/>
    </row>
    <row r="19" spans="3:14" x14ac:dyDescent="0.3">
      <c r="C19" s="33" t="s">
        <v>9</v>
      </c>
      <c r="E19" s="11">
        <v>0.08</v>
      </c>
      <c r="F19" s="11">
        <v>0.25</v>
      </c>
      <c r="G19" s="11">
        <v>0.5</v>
      </c>
      <c r="H19" s="11">
        <v>1</v>
      </c>
      <c r="L19" s="7"/>
      <c r="M19" s="8"/>
      <c r="N19" s="4"/>
    </row>
    <row r="20" spans="3:14" x14ac:dyDescent="0.3">
      <c r="C20" s="34"/>
      <c r="D20" s="11">
        <v>550</v>
      </c>
      <c r="E20" s="16">
        <f t="shared" ref="E20:H24" si="0">S * EXP(-q * E$19) * _xlfn.NORM.S.DIST((LN(S/$D20) + (r_ - q + σ^2 / 2) * E$19) / (σ * SQRT(E$19)), TRUE) - $D20 * EXP(-r_ * E$19) * _xlfn.NORM.S.DIST(((LN(S/$D20) + (r_ - q + σ^2 / 2) * E$19) / (σ * SQRT(E$19))) - σ * SQRT(E$19), TRUE)</f>
        <v>99.397232360669136</v>
      </c>
      <c r="F20" s="16">
        <f t="shared" si="0"/>
        <v>103.33757124961073</v>
      </c>
      <c r="G20" s="16">
        <f t="shared" si="0"/>
        <v>110.59229804249088</v>
      </c>
      <c r="H20" s="16">
        <f t="shared" si="0"/>
        <v>125.0721157223291</v>
      </c>
      <c r="L20" s="7"/>
      <c r="M20" s="8"/>
      <c r="N20" s="4"/>
    </row>
    <row r="21" spans="3:14" x14ac:dyDescent="0.3">
      <c r="C21" s="34"/>
      <c r="D21" s="11">
        <v>600</v>
      </c>
      <c r="E21" s="16">
        <f t="shared" si="0"/>
        <v>50.796541521525683</v>
      </c>
      <c r="F21" s="16">
        <f t="shared" si="0"/>
        <v>59.564101146046596</v>
      </c>
      <c r="G21" s="16">
        <f t="shared" si="0"/>
        <v>70.822322556226482</v>
      </c>
      <c r="H21" s="16">
        <f t="shared" si="0"/>
        <v>89.18175153376734</v>
      </c>
      <c r="L21" s="7"/>
      <c r="M21" s="8"/>
      <c r="N21" s="4"/>
    </row>
    <row r="22" spans="3:14" x14ac:dyDescent="0.3">
      <c r="C22" s="34"/>
      <c r="D22" s="11">
        <v>650</v>
      </c>
      <c r="E22" s="16">
        <f t="shared" si="0"/>
        <v>14.453631992688997</v>
      </c>
      <c r="F22" s="16">
        <f t="shared" si="0"/>
        <v>27.376849529537196</v>
      </c>
      <c r="G22" s="16">
        <f t="shared" si="0"/>
        <v>40.541409285383565</v>
      </c>
      <c r="H22" s="16">
        <f t="shared" si="0"/>
        <v>60.458020636352217</v>
      </c>
      <c r="L22" s="7"/>
      <c r="M22" s="8"/>
      <c r="N22" s="4"/>
    </row>
    <row r="23" spans="3:14" x14ac:dyDescent="0.3">
      <c r="C23" s="34"/>
      <c r="D23" s="11">
        <v>700</v>
      </c>
      <c r="E23" s="16">
        <f t="shared" si="0"/>
        <v>1.6616640030418779</v>
      </c>
      <c r="F23" s="16">
        <f t="shared" si="0"/>
        <v>9.702349328138439</v>
      </c>
      <c r="G23" s="16">
        <f t="shared" si="0"/>
        <v>20.670922481968461</v>
      </c>
      <c r="H23" s="16">
        <f t="shared" si="0"/>
        <v>39.048943351882031</v>
      </c>
      <c r="L23" s="7"/>
      <c r="M23" s="8"/>
      <c r="N23" s="4"/>
    </row>
    <row r="24" spans="3:14" x14ac:dyDescent="0.3">
      <c r="C24" s="35"/>
      <c r="D24" s="11">
        <v>750</v>
      </c>
      <c r="E24" s="16">
        <f t="shared" si="0"/>
        <v>6.9882868345121807E-2</v>
      </c>
      <c r="F24" s="16">
        <f t="shared" si="0"/>
        <v>2.6453279213515017</v>
      </c>
      <c r="G24" s="16">
        <f t="shared" si="0"/>
        <v>9.4292782227884402</v>
      </c>
      <c r="H24" s="16">
        <f t="shared" si="0"/>
        <v>24.119254396130799</v>
      </c>
      <c r="L24" s="7"/>
      <c r="M24" s="8"/>
      <c r="N24" s="4"/>
    </row>
    <row r="25" spans="3:14" x14ac:dyDescent="0.3">
      <c r="L25" s="9"/>
      <c r="M25" s="8"/>
      <c r="N25" s="4"/>
    </row>
    <row r="26" spans="3:14" x14ac:dyDescent="0.3">
      <c r="C26" s="13" t="s">
        <v>18</v>
      </c>
      <c r="L26" s="9"/>
      <c r="M26" s="8"/>
      <c r="N26" s="4"/>
    </row>
    <row r="27" spans="3:14" x14ac:dyDescent="0.3">
      <c r="C27" s="25"/>
      <c r="D27" s="20"/>
      <c r="E27" s="30" t="s">
        <v>10</v>
      </c>
      <c r="F27" s="31"/>
      <c r="G27" s="31"/>
      <c r="H27" s="32"/>
      <c r="L27" s="7"/>
      <c r="M27" s="8"/>
      <c r="N27" s="4"/>
    </row>
    <row r="28" spans="3:14" x14ac:dyDescent="0.3">
      <c r="C28" s="33" t="s">
        <v>9</v>
      </c>
      <c r="E28" s="11">
        <v>0.08</v>
      </c>
      <c r="F28" s="11">
        <v>0.25</v>
      </c>
      <c r="G28" s="11">
        <v>0.5</v>
      </c>
      <c r="H28" s="11">
        <v>1</v>
      </c>
      <c r="I28" s="18"/>
      <c r="J28" s="18"/>
      <c r="L28" s="7"/>
      <c r="M28" s="8"/>
      <c r="N28" s="4"/>
    </row>
    <row r="29" spans="3:14" x14ac:dyDescent="0.3">
      <c r="C29" s="34"/>
      <c r="D29" s="11">
        <v>550</v>
      </c>
      <c r="E29" s="16">
        <v>102.4</v>
      </c>
      <c r="F29" s="16">
        <v>112.1</v>
      </c>
      <c r="G29" s="16">
        <v>124.5</v>
      </c>
      <c r="H29" s="16">
        <v>140.19999999999999</v>
      </c>
      <c r="I29" s="18"/>
      <c r="J29" s="18"/>
      <c r="M29" s="4"/>
      <c r="N29" s="4"/>
    </row>
    <row r="30" spans="3:14" x14ac:dyDescent="0.3">
      <c r="C30" s="34"/>
      <c r="D30" s="11">
        <v>600</v>
      </c>
      <c r="E30" s="16">
        <v>55.8</v>
      </c>
      <c r="F30" s="16">
        <v>68.400000000000006</v>
      </c>
      <c r="G30" s="16">
        <v>82.1</v>
      </c>
      <c r="H30" s="16">
        <v>101.5</v>
      </c>
      <c r="I30" s="18"/>
      <c r="J30" s="18"/>
      <c r="M30" s="4"/>
      <c r="N30" s="4"/>
    </row>
    <row r="31" spans="3:14" x14ac:dyDescent="0.3">
      <c r="C31" s="34"/>
      <c r="D31" s="11">
        <v>650</v>
      </c>
      <c r="E31" s="16">
        <v>21.5</v>
      </c>
      <c r="F31" s="16">
        <v>34.200000000000003</v>
      </c>
      <c r="G31" s="16">
        <v>49.8</v>
      </c>
      <c r="H31" s="16">
        <v>71.2</v>
      </c>
      <c r="I31" s="18"/>
      <c r="J31" s="18"/>
      <c r="M31" s="4"/>
      <c r="N31" s="4"/>
    </row>
    <row r="32" spans="3:14" x14ac:dyDescent="0.3">
      <c r="C32" s="34"/>
      <c r="D32" s="11">
        <v>700</v>
      </c>
      <c r="E32" s="16">
        <v>6.2</v>
      </c>
      <c r="F32" s="16">
        <v>14.8</v>
      </c>
      <c r="G32" s="16">
        <v>26.4</v>
      </c>
      <c r="H32" s="16">
        <v>46.8</v>
      </c>
      <c r="I32" s="18"/>
      <c r="J32" s="18"/>
      <c r="M32" s="4"/>
      <c r="N32" s="4"/>
    </row>
    <row r="33" spans="3:14" x14ac:dyDescent="0.3">
      <c r="C33" s="35"/>
      <c r="D33" s="11">
        <v>750</v>
      </c>
      <c r="E33" s="16">
        <v>1.1000000000000001</v>
      </c>
      <c r="F33" s="16">
        <v>5.2</v>
      </c>
      <c r="G33" s="16">
        <v>12.3</v>
      </c>
      <c r="H33" s="16">
        <v>28.4</v>
      </c>
      <c r="I33" s="18"/>
      <c r="J33" s="18"/>
      <c r="M33" s="4"/>
      <c r="N33" s="4"/>
    </row>
    <row r="34" spans="3:14" x14ac:dyDescent="0.3">
      <c r="D34" s="16"/>
      <c r="E34" s="16"/>
      <c r="F34" s="16"/>
      <c r="G34" s="16"/>
      <c r="H34" s="16"/>
      <c r="I34" s="16"/>
      <c r="M34" s="4"/>
      <c r="N34" s="4"/>
    </row>
    <row r="35" spans="3:14" x14ac:dyDescent="0.3">
      <c r="C35" s="13" t="s">
        <v>20</v>
      </c>
      <c r="M35" s="4"/>
      <c r="N35" s="4"/>
    </row>
    <row r="36" spans="3:14" x14ac:dyDescent="0.3">
      <c r="C36" s="25"/>
      <c r="D36" s="20"/>
      <c r="E36" s="30" t="s">
        <v>10</v>
      </c>
      <c r="F36" s="31"/>
      <c r="G36" s="31"/>
      <c r="H36" s="32"/>
      <c r="M36" s="4"/>
      <c r="N36" s="4"/>
    </row>
    <row r="37" spans="3:14" x14ac:dyDescent="0.3">
      <c r="C37" s="33" t="s">
        <v>9</v>
      </c>
      <c r="E37" s="11">
        <v>0.08</v>
      </c>
      <c r="F37" s="11">
        <v>0.25</v>
      </c>
      <c r="G37" s="11">
        <v>0.5</v>
      </c>
      <c r="H37" s="11">
        <v>1</v>
      </c>
      <c r="M37" s="4"/>
      <c r="N37" s="4"/>
    </row>
    <row r="38" spans="3:14" x14ac:dyDescent="0.3">
      <c r="C38" s="34"/>
      <c r="D38" s="11">
        <v>550</v>
      </c>
      <c r="E38" s="17">
        <v>0.38419999999999999</v>
      </c>
      <c r="F38" s="17">
        <v>0.34150000000000003</v>
      </c>
      <c r="G38" s="17">
        <v>0.31219999999999998</v>
      </c>
      <c r="H38" s="17">
        <v>0.29049999999999998</v>
      </c>
      <c r="M38" s="4"/>
      <c r="N38" s="4"/>
    </row>
    <row r="39" spans="3:14" x14ac:dyDescent="0.3">
      <c r="C39" s="34"/>
      <c r="D39" s="11">
        <v>600</v>
      </c>
      <c r="E39" s="17">
        <v>0.33100000000000002</v>
      </c>
      <c r="F39" s="17">
        <v>0.3105</v>
      </c>
      <c r="G39" s="17">
        <v>0.2918</v>
      </c>
      <c r="H39" s="17">
        <v>0.27839999999999998</v>
      </c>
      <c r="M39" s="4"/>
      <c r="N39" s="4"/>
    </row>
    <row r="40" spans="3:14" x14ac:dyDescent="0.3">
      <c r="C40" s="34"/>
      <c r="D40" s="11">
        <v>650</v>
      </c>
      <c r="E40" s="17">
        <v>0.28949999999999998</v>
      </c>
      <c r="F40" s="17">
        <v>0.2782</v>
      </c>
      <c r="G40" s="17">
        <v>0.27050000000000002</v>
      </c>
      <c r="H40" s="17">
        <v>0.26150000000000001</v>
      </c>
      <c r="M40" s="4"/>
      <c r="N40" s="4"/>
    </row>
    <row r="41" spans="3:14" x14ac:dyDescent="0.3">
      <c r="C41" s="34"/>
      <c r="D41" s="11">
        <v>700</v>
      </c>
      <c r="E41" s="17">
        <v>0.26400000000000001</v>
      </c>
      <c r="F41" s="17">
        <v>0.2515</v>
      </c>
      <c r="G41" s="17">
        <v>0.24879999999999999</v>
      </c>
      <c r="H41" s="17">
        <v>0.2432</v>
      </c>
      <c r="L41" s="9"/>
      <c r="M41" s="8"/>
      <c r="N41" s="4"/>
    </row>
    <row r="42" spans="3:14" x14ac:dyDescent="0.3">
      <c r="C42" s="35"/>
      <c r="D42" s="11">
        <v>750</v>
      </c>
      <c r="E42" s="17">
        <v>0.2422</v>
      </c>
      <c r="F42" s="17">
        <v>0.23949999999999999</v>
      </c>
      <c r="G42" s="17">
        <v>0.23549999999999999</v>
      </c>
      <c r="H42" s="17">
        <v>0.23100000000000001</v>
      </c>
      <c r="L42" s="7"/>
      <c r="M42" s="8"/>
      <c r="N42" s="4"/>
    </row>
    <row r="43" spans="3:14" x14ac:dyDescent="0.3">
      <c r="E43" s="17"/>
      <c r="F43" s="17"/>
      <c r="G43" s="17"/>
      <c r="H43" s="17"/>
      <c r="L43" s="7"/>
      <c r="M43" s="8"/>
      <c r="N43" s="4"/>
    </row>
    <row r="44" spans="3:14" x14ac:dyDescent="0.3">
      <c r="C44" s="13" t="s">
        <v>26</v>
      </c>
      <c r="M44" s="4"/>
      <c r="N44" s="4"/>
    </row>
    <row r="45" spans="3:14" x14ac:dyDescent="0.3">
      <c r="C45" s="25"/>
      <c r="D45" s="30" t="s">
        <v>10</v>
      </c>
      <c r="E45" s="31"/>
      <c r="F45" s="31"/>
      <c r="G45" s="31"/>
      <c r="H45" s="32"/>
      <c r="M45" s="4"/>
      <c r="N45" s="4"/>
    </row>
    <row r="46" spans="3:14" x14ac:dyDescent="0.3">
      <c r="C46" s="33" t="s">
        <v>9</v>
      </c>
      <c r="E46" s="11">
        <f>E37</f>
        <v>0.08</v>
      </c>
      <c r="F46" s="11">
        <f t="shared" ref="F46:H46" si="1">F37</f>
        <v>0.25</v>
      </c>
      <c r="G46" s="11">
        <f t="shared" si="1"/>
        <v>0.5</v>
      </c>
      <c r="H46" s="11">
        <f t="shared" si="1"/>
        <v>1</v>
      </c>
      <c r="M46" s="4"/>
      <c r="N46" s="4"/>
    </row>
    <row r="47" spans="3:14" x14ac:dyDescent="0.3">
      <c r="C47" s="34"/>
      <c r="D47" s="11">
        <f>D38</f>
        <v>550</v>
      </c>
      <c r="E47" s="17">
        <f>E38</f>
        <v>0.38419999999999999</v>
      </c>
      <c r="M47" s="4"/>
      <c r="N47" s="4"/>
    </row>
    <row r="48" spans="3:14" x14ac:dyDescent="0.3">
      <c r="C48" s="34"/>
      <c r="D48" s="11">
        <f t="shared" ref="D48:D51" si="2">D39</f>
        <v>600</v>
      </c>
      <c r="E48" s="17">
        <f t="shared" ref="E48:E51" si="3">E39</f>
        <v>0.33100000000000002</v>
      </c>
      <c r="M48" s="4"/>
      <c r="N48" s="4"/>
    </row>
    <row r="49" spans="3:14" x14ac:dyDescent="0.3">
      <c r="C49" s="34"/>
      <c r="D49" s="11">
        <f t="shared" si="2"/>
        <v>650</v>
      </c>
      <c r="E49" s="17">
        <f t="shared" si="3"/>
        <v>0.28949999999999998</v>
      </c>
      <c r="M49" s="4"/>
      <c r="N49" s="4"/>
    </row>
    <row r="50" spans="3:14" x14ac:dyDescent="0.3">
      <c r="C50" s="34"/>
      <c r="D50" s="11">
        <f t="shared" si="2"/>
        <v>700</v>
      </c>
      <c r="E50" s="17">
        <f t="shared" si="3"/>
        <v>0.26400000000000001</v>
      </c>
      <c r="M50" s="4"/>
      <c r="N50" s="4"/>
    </row>
    <row r="51" spans="3:14" x14ac:dyDescent="0.3">
      <c r="C51" s="35"/>
      <c r="D51" s="11">
        <f t="shared" si="2"/>
        <v>750</v>
      </c>
      <c r="E51" s="17">
        <f t="shared" si="3"/>
        <v>0.2422</v>
      </c>
      <c r="M51" s="4"/>
      <c r="N51" s="4"/>
    </row>
    <row r="52" spans="3:14" x14ac:dyDescent="0.3">
      <c r="M52" s="4"/>
      <c r="N52" s="4"/>
    </row>
    <row r="53" spans="3:14" x14ac:dyDescent="0.3">
      <c r="M53" s="4"/>
      <c r="N53" s="4"/>
    </row>
    <row r="54" spans="3:14" x14ac:dyDescent="0.3">
      <c r="M54" s="4"/>
      <c r="N54" s="4"/>
    </row>
    <row r="55" spans="3:14" x14ac:dyDescent="0.3">
      <c r="M55" s="4"/>
      <c r="N55" s="4"/>
    </row>
    <row r="56" spans="3:14" x14ac:dyDescent="0.3">
      <c r="L56" s="7"/>
      <c r="M56" s="8"/>
      <c r="N56" s="4"/>
    </row>
    <row r="57" spans="3:14" x14ac:dyDescent="0.3">
      <c r="L57" s="7"/>
      <c r="M57" s="8"/>
      <c r="N57" s="4"/>
    </row>
    <row r="58" spans="3:14" x14ac:dyDescent="0.3">
      <c r="M58" s="4"/>
      <c r="N58" s="4"/>
    </row>
    <row r="59" spans="3:14" x14ac:dyDescent="0.3">
      <c r="M59" s="4"/>
      <c r="N59" s="4"/>
    </row>
    <row r="60" spans="3:14" x14ac:dyDescent="0.3">
      <c r="M60" s="4"/>
      <c r="N60" s="4"/>
    </row>
    <row r="61" spans="3:14" x14ac:dyDescent="0.3">
      <c r="M61" s="4"/>
      <c r="N61" s="4"/>
    </row>
    <row r="62" spans="3:14" x14ac:dyDescent="0.3">
      <c r="M62" s="4"/>
      <c r="N62" s="4"/>
    </row>
    <row r="63" spans="3:14" x14ac:dyDescent="0.3">
      <c r="M63" s="4"/>
      <c r="N63" s="4"/>
    </row>
    <row r="64" spans="3:14" x14ac:dyDescent="0.3">
      <c r="M64" s="4"/>
      <c r="N64" s="4"/>
    </row>
    <row r="65" spans="12:14" x14ac:dyDescent="0.3">
      <c r="M65" s="4"/>
      <c r="N65" s="4"/>
    </row>
    <row r="66" spans="12:14" x14ac:dyDescent="0.3">
      <c r="M66" s="4"/>
      <c r="N66" s="4"/>
    </row>
    <row r="67" spans="12:14" x14ac:dyDescent="0.3">
      <c r="M67" s="4"/>
      <c r="N67" s="4"/>
    </row>
    <row r="68" spans="12:14" x14ac:dyDescent="0.3">
      <c r="M68" s="4"/>
      <c r="N68" s="4"/>
    </row>
    <row r="69" spans="12:14" x14ac:dyDescent="0.3">
      <c r="M69" s="4"/>
      <c r="N69" s="4"/>
    </row>
    <row r="70" spans="12:14" x14ac:dyDescent="0.3">
      <c r="L70" s="9"/>
      <c r="M70" s="8"/>
      <c r="N70" s="4"/>
    </row>
    <row r="71" spans="12:14" x14ac:dyDescent="0.3">
      <c r="L71" s="7"/>
      <c r="M71" s="8"/>
      <c r="N71" s="4"/>
    </row>
    <row r="72" spans="12:14" x14ac:dyDescent="0.3">
      <c r="L72" s="7"/>
      <c r="M72" s="8"/>
      <c r="N72" s="4"/>
    </row>
    <row r="73" spans="12:14" x14ac:dyDescent="0.3">
      <c r="M73" s="4"/>
      <c r="N73" s="4"/>
    </row>
    <row r="74" spans="12:14" x14ac:dyDescent="0.3">
      <c r="M74" s="4"/>
      <c r="N74" s="4"/>
    </row>
    <row r="75" spans="12:14" x14ac:dyDescent="0.3">
      <c r="M75" s="4"/>
      <c r="N75" s="4"/>
    </row>
    <row r="76" spans="12:14" x14ac:dyDescent="0.3">
      <c r="M76" s="4"/>
      <c r="N76" s="4"/>
    </row>
    <row r="77" spans="12:14" x14ac:dyDescent="0.3">
      <c r="M77" s="4"/>
      <c r="N77" s="4"/>
    </row>
    <row r="78" spans="12:14" x14ac:dyDescent="0.3">
      <c r="M78" s="4"/>
      <c r="N78" s="4"/>
    </row>
    <row r="79" spans="12:14" x14ac:dyDescent="0.3">
      <c r="M79" s="4"/>
      <c r="N79" s="4"/>
    </row>
    <row r="80" spans="12:14" x14ac:dyDescent="0.3">
      <c r="M80" s="4"/>
      <c r="N80" s="4"/>
    </row>
    <row r="81" spans="12:14" x14ac:dyDescent="0.3">
      <c r="M81" s="4"/>
      <c r="N81" s="4"/>
    </row>
    <row r="82" spans="12:14" x14ac:dyDescent="0.3">
      <c r="M82" s="4"/>
      <c r="N82" s="4"/>
    </row>
    <row r="83" spans="12:14" x14ac:dyDescent="0.3">
      <c r="M83" s="4"/>
      <c r="N83" s="4"/>
    </row>
    <row r="84" spans="12:14" x14ac:dyDescent="0.3">
      <c r="M84" s="4"/>
      <c r="N84" s="4"/>
    </row>
    <row r="85" spans="12:14" x14ac:dyDescent="0.3">
      <c r="M85" s="4"/>
      <c r="N85" s="4"/>
    </row>
    <row r="86" spans="12:14" x14ac:dyDescent="0.3">
      <c r="L86" s="1"/>
      <c r="M86" s="1"/>
      <c r="N86" s="1"/>
    </row>
    <row r="87" spans="12:14" x14ac:dyDescent="0.3">
      <c r="L87" s="1"/>
      <c r="M87" s="1"/>
      <c r="N87" s="1"/>
    </row>
    <row r="88" spans="12:14" x14ac:dyDescent="0.3">
      <c r="L88" s="1"/>
      <c r="M88" s="1"/>
      <c r="N88" s="1"/>
    </row>
    <row r="89" spans="12:14" x14ac:dyDescent="0.3">
      <c r="L89" s="1"/>
      <c r="M89" s="1"/>
      <c r="N89" s="1"/>
    </row>
    <row r="90" spans="12:14" x14ac:dyDescent="0.3">
      <c r="L90" s="1"/>
      <c r="M90" s="1"/>
      <c r="N90" s="1"/>
    </row>
    <row r="91" spans="12:14" x14ac:dyDescent="0.3">
      <c r="L91" s="1"/>
      <c r="M91" s="1"/>
      <c r="N91" s="1"/>
    </row>
    <row r="92" spans="12:14" x14ac:dyDescent="0.3">
      <c r="L92" s="1"/>
      <c r="M92" s="1"/>
      <c r="N92" s="1"/>
    </row>
    <row r="93" spans="12:14" x14ac:dyDescent="0.3">
      <c r="L93" s="1"/>
      <c r="M93" s="1"/>
      <c r="N93" s="1"/>
    </row>
    <row r="94" spans="12:14" x14ac:dyDescent="0.3">
      <c r="L94" s="1"/>
      <c r="M94" s="1"/>
      <c r="N94" s="1"/>
    </row>
    <row r="95" spans="12:14" x14ac:dyDescent="0.3">
      <c r="L95" s="1"/>
      <c r="M95" s="1"/>
      <c r="N95" s="1"/>
    </row>
    <row r="96" spans="12:14" x14ac:dyDescent="0.3">
      <c r="L96" s="1"/>
      <c r="M96" s="1"/>
      <c r="N96" s="1"/>
    </row>
    <row r="97" spans="12:14" x14ac:dyDescent="0.3">
      <c r="L97" s="1"/>
      <c r="M97" s="1"/>
      <c r="N97" s="1"/>
    </row>
    <row r="98" spans="12:14" x14ac:dyDescent="0.3">
      <c r="L98" s="1"/>
      <c r="M98" s="1"/>
      <c r="N98" s="1"/>
    </row>
    <row r="99" spans="12:14" x14ac:dyDescent="0.3">
      <c r="L99" s="1"/>
      <c r="M99" s="1"/>
      <c r="N99" s="1"/>
    </row>
    <row r="100" spans="12:14" x14ac:dyDescent="0.3">
      <c r="L100" s="1"/>
      <c r="M100" s="1"/>
      <c r="N100" s="1"/>
    </row>
    <row r="101" spans="12:14" x14ac:dyDescent="0.3">
      <c r="L101" s="1"/>
      <c r="M101" s="1"/>
      <c r="N101" s="1"/>
    </row>
    <row r="102" spans="12:14" x14ac:dyDescent="0.3">
      <c r="L102" s="1"/>
      <c r="M102" s="1"/>
      <c r="N102" s="1"/>
    </row>
    <row r="103" spans="12:14" x14ac:dyDescent="0.3">
      <c r="L103" s="1"/>
      <c r="M103" s="1"/>
      <c r="N103" s="1"/>
    </row>
    <row r="104" spans="12:14" x14ac:dyDescent="0.3">
      <c r="L104" s="1"/>
      <c r="M104" s="1"/>
      <c r="N104" s="1"/>
    </row>
    <row r="105" spans="12:14" x14ac:dyDescent="0.3">
      <c r="L105" s="1"/>
      <c r="M105" s="1"/>
      <c r="N105" s="1"/>
    </row>
    <row r="106" spans="12:14" x14ac:dyDescent="0.3">
      <c r="L106" s="1"/>
      <c r="M106" s="1"/>
      <c r="N106" s="1"/>
    </row>
    <row r="107" spans="12:14" x14ac:dyDescent="0.3">
      <c r="L107" s="1"/>
      <c r="M107" s="1"/>
      <c r="N107" s="1"/>
    </row>
    <row r="108" spans="12:14" x14ac:dyDescent="0.3">
      <c r="L108" s="1"/>
      <c r="M108" s="1"/>
      <c r="N108" s="1"/>
    </row>
    <row r="109" spans="12:14" x14ac:dyDescent="0.3">
      <c r="L109" s="1"/>
      <c r="M109" s="1"/>
      <c r="N109" s="1"/>
    </row>
    <row r="110" spans="12:14" x14ac:dyDescent="0.3">
      <c r="L110" s="1"/>
      <c r="M110" s="1"/>
      <c r="N110" s="1"/>
    </row>
    <row r="111" spans="12:14" x14ac:dyDescent="0.3">
      <c r="L111" s="1"/>
      <c r="M111" s="1"/>
      <c r="N111" s="1"/>
    </row>
    <row r="112" spans="12:14" x14ac:dyDescent="0.3">
      <c r="L112" s="1"/>
      <c r="M112" s="1"/>
      <c r="N112" s="1"/>
    </row>
    <row r="113" spans="12:14" x14ac:dyDescent="0.3">
      <c r="L113" s="1"/>
      <c r="M113" s="1"/>
      <c r="N113" s="1"/>
    </row>
    <row r="114" spans="12:14" x14ac:dyDescent="0.3">
      <c r="L114" s="1"/>
      <c r="M114" s="1"/>
      <c r="N114" s="1"/>
    </row>
    <row r="115" spans="12:14" x14ac:dyDescent="0.3">
      <c r="L115" s="1"/>
      <c r="M115" s="1"/>
      <c r="N115" s="1"/>
    </row>
    <row r="116" spans="12:14" x14ac:dyDescent="0.3">
      <c r="L116" s="1"/>
      <c r="M116" s="1"/>
      <c r="N116" s="1"/>
    </row>
    <row r="117" spans="12:14" x14ac:dyDescent="0.3">
      <c r="L117" s="1"/>
      <c r="M117" s="1"/>
      <c r="N117" s="1"/>
    </row>
    <row r="118" spans="12:14" x14ac:dyDescent="0.3">
      <c r="L118" s="1"/>
      <c r="M118" s="1"/>
      <c r="N118" s="1"/>
    </row>
    <row r="119" spans="12:14" x14ac:dyDescent="0.3">
      <c r="L119" s="1"/>
      <c r="M119" s="1"/>
      <c r="N119" s="1"/>
    </row>
    <row r="120" spans="12:14" x14ac:dyDescent="0.3">
      <c r="L120" s="1"/>
      <c r="M120" s="1"/>
      <c r="N120" s="1"/>
    </row>
    <row r="121" spans="12:14" x14ac:dyDescent="0.3">
      <c r="L121" s="1"/>
      <c r="M121" s="1"/>
      <c r="N121" s="1"/>
    </row>
    <row r="122" spans="12:14" x14ac:dyDescent="0.3">
      <c r="L122" s="1"/>
      <c r="M122" s="1"/>
      <c r="N122" s="1"/>
    </row>
    <row r="123" spans="12:14" x14ac:dyDescent="0.3">
      <c r="L123" s="1"/>
      <c r="M123" s="1"/>
      <c r="N123" s="1"/>
    </row>
    <row r="124" spans="12:14" x14ac:dyDescent="0.3">
      <c r="L124" s="1"/>
      <c r="M124" s="1"/>
      <c r="N124" s="1"/>
    </row>
    <row r="125" spans="12:14" x14ac:dyDescent="0.3">
      <c r="L125" s="1"/>
      <c r="M125" s="1"/>
      <c r="N125" s="1"/>
    </row>
    <row r="126" spans="12:14" x14ac:dyDescent="0.3">
      <c r="L126" s="1"/>
      <c r="M126" s="1"/>
      <c r="N126" s="1"/>
    </row>
    <row r="127" spans="12:14" x14ac:dyDescent="0.3">
      <c r="L127" s="1"/>
      <c r="M127" s="1"/>
      <c r="N127" s="1"/>
    </row>
    <row r="128" spans="12:14" x14ac:dyDescent="0.3">
      <c r="L128" s="1"/>
      <c r="M128" s="1"/>
      <c r="N128" s="1"/>
    </row>
    <row r="129" spans="12:14" x14ac:dyDescent="0.3">
      <c r="L129" s="1"/>
      <c r="M129" s="1"/>
      <c r="N129" s="1"/>
    </row>
    <row r="130" spans="12:14" x14ac:dyDescent="0.3">
      <c r="L130" s="1"/>
      <c r="M130" s="1"/>
      <c r="N130" s="1"/>
    </row>
    <row r="131" spans="12:14" x14ac:dyDescent="0.3">
      <c r="L131" s="1"/>
      <c r="M131" s="1"/>
      <c r="N131" s="1"/>
    </row>
    <row r="132" spans="12:14" x14ac:dyDescent="0.3">
      <c r="L132" s="1"/>
      <c r="M132" s="1"/>
      <c r="N132" s="1"/>
    </row>
    <row r="133" spans="12:14" x14ac:dyDescent="0.3">
      <c r="L133" s="1"/>
      <c r="M133" s="1"/>
      <c r="N133" s="1"/>
    </row>
    <row r="134" spans="12:14" x14ac:dyDescent="0.3">
      <c r="L134" s="1"/>
      <c r="M134" s="1"/>
      <c r="N134" s="1"/>
    </row>
    <row r="135" spans="12:14" x14ac:dyDescent="0.3">
      <c r="L135" s="1"/>
      <c r="M135" s="1"/>
      <c r="N135" s="1"/>
    </row>
    <row r="136" spans="12:14" x14ac:dyDescent="0.3">
      <c r="L136" s="1"/>
      <c r="M136" s="1"/>
      <c r="N136" s="1"/>
    </row>
    <row r="137" spans="12:14" x14ac:dyDescent="0.3">
      <c r="L137" s="1"/>
      <c r="M137" s="1"/>
      <c r="N137" s="1"/>
    </row>
    <row r="138" spans="12:14" x14ac:dyDescent="0.3">
      <c r="L138" s="1"/>
      <c r="M138" s="1"/>
      <c r="N138" s="1"/>
    </row>
    <row r="139" spans="12:14" x14ac:dyDescent="0.3">
      <c r="L139" s="1"/>
      <c r="M139" s="1"/>
      <c r="N139" s="1"/>
    </row>
    <row r="140" spans="12:14" x14ac:dyDescent="0.3">
      <c r="L140" s="1"/>
      <c r="M140" s="1"/>
      <c r="N140" s="1"/>
    </row>
    <row r="141" spans="12:14" x14ac:dyDescent="0.3">
      <c r="L141" s="1"/>
      <c r="M141" s="1"/>
      <c r="N141" s="1"/>
    </row>
    <row r="142" spans="12:14" x14ac:dyDescent="0.3">
      <c r="L142" s="1"/>
      <c r="M142" s="1"/>
      <c r="N142" s="1"/>
    </row>
    <row r="143" spans="12:14" x14ac:dyDescent="0.3">
      <c r="L143" s="1"/>
      <c r="M143" s="1"/>
      <c r="N143" s="1"/>
    </row>
    <row r="144" spans="12:14" x14ac:dyDescent="0.3">
      <c r="L144" s="1"/>
      <c r="M144" s="1"/>
      <c r="N144" s="1"/>
    </row>
    <row r="145" spans="12:14" x14ac:dyDescent="0.3">
      <c r="L145" s="1"/>
      <c r="M145" s="1"/>
      <c r="N145" s="1"/>
    </row>
    <row r="146" spans="12:14" x14ac:dyDescent="0.3">
      <c r="L146" s="1"/>
      <c r="M146" s="1"/>
      <c r="N146" s="1"/>
    </row>
    <row r="147" spans="12:14" x14ac:dyDescent="0.3">
      <c r="L147" s="1"/>
      <c r="M147" s="1"/>
      <c r="N147" s="1"/>
    </row>
    <row r="148" spans="12:14" x14ac:dyDescent="0.3">
      <c r="L148" s="1"/>
      <c r="M148" s="1"/>
      <c r="N148" s="1"/>
    </row>
    <row r="149" spans="12:14" x14ac:dyDescent="0.3">
      <c r="L149" s="1"/>
      <c r="M149" s="1"/>
      <c r="N149" s="1"/>
    </row>
    <row r="150" spans="12:14" x14ac:dyDescent="0.3">
      <c r="L150" s="1"/>
      <c r="M150" s="1"/>
      <c r="N150" s="1"/>
    </row>
    <row r="151" spans="12:14" x14ac:dyDescent="0.3">
      <c r="L151" s="1"/>
      <c r="M151" s="1"/>
      <c r="N151" s="1"/>
    </row>
    <row r="152" spans="12:14" x14ac:dyDescent="0.3">
      <c r="L152" s="1"/>
      <c r="M152" s="1"/>
      <c r="N152" s="1"/>
    </row>
    <row r="153" spans="12:14" x14ac:dyDescent="0.3">
      <c r="L153" s="1"/>
      <c r="M153" s="1"/>
      <c r="N153" s="1"/>
    </row>
    <row r="154" spans="12:14" x14ac:dyDescent="0.3">
      <c r="L154" s="1"/>
      <c r="M154" s="1"/>
      <c r="N154" s="1"/>
    </row>
    <row r="155" spans="12:14" x14ac:dyDescent="0.3">
      <c r="L155" s="1"/>
      <c r="M155" s="1"/>
      <c r="N155" s="1"/>
    </row>
    <row r="156" spans="12:14" x14ac:dyDescent="0.3">
      <c r="L156" s="1"/>
      <c r="M156" s="1"/>
      <c r="N156" s="1"/>
    </row>
    <row r="157" spans="12:14" x14ac:dyDescent="0.3">
      <c r="L157" s="1"/>
      <c r="M157" s="1"/>
      <c r="N157" s="1"/>
    </row>
    <row r="158" spans="12:14" x14ac:dyDescent="0.3">
      <c r="L158" s="1"/>
      <c r="M158" s="1"/>
      <c r="N158" s="1"/>
    </row>
    <row r="159" spans="12:14" x14ac:dyDescent="0.3">
      <c r="L159" s="1"/>
      <c r="M159" s="1"/>
      <c r="N159" s="1"/>
    </row>
    <row r="160" spans="12:14" x14ac:dyDescent="0.3">
      <c r="L160" s="1"/>
      <c r="M160" s="1"/>
      <c r="N160" s="1"/>
    </row>
    <row r="161" spans="12:14" x14ac:dyDescent="0.3">
      <c r="L161" s="1"/>
      <c r="M161" s="1"/>
      <c r="N161" s="1"/>
    </row>
    <row r="162" spans="12:14" x14ac:dyDescent="0.3">
      <c r="L162" s="1"/>
      <c r="M162" s="1"/>
      <c r="N162" s="1"/>
    </row>
    <row r="163" spans="12:14" x14ac:dyDescent="0.3">
      <c r="L163" s="1"/>
      <c r="M163" s="1"/>
      <c r="N163" s="1"/>
    </row>
    <row r="164" spans="12:14" x14ac:dyDescent="0.3">
      <c r="L164" s="1"/>
      <c r="M164" s="1"/>
      <c r="N164" s="1"/>
    </row>
    <row r="165" spans="12:14" x14ac:dyDescent="0.3">
      <c r="L165" s="1"/>
      <c r="M165" s="1"/>
      <c r="N165" s="1"/>
    </row>
    <row r="166" spans="12:14" x14ac:dyDescent="0.3">
      <c r="L166" s="1"/>
      <c r="M166" s="1"/>
      <c r="N166" s="1"/>
    </row>
    <row r="167" spans="12:14" x14ac:dyDescent="0.3">
      <c r="L167" s="1"/>
      <c r="M167" s="1"/>
      <c r="N167" s="1"/>
    </row>
    <row r="168" spans="12:14" x14ac:dyDescent="0.3">
      <c r="L168" s="1"/>
      <c r="M168" s="1"/>
      <c r="N168" s="1"/>
    </row>
    <row r="169" spans="12:14" x14ac:dyDescent="0.3">
      <c r="L169" s="1"/>
      <c r="M169" s="1"/>
      <c r="N169" s="1"/>
    </row>
    <row r="170" spans="12:14" x14ac:dyDescent="0.3">
      <c r="L170" s="1"/>
      <c r="M170" s="1"/>
      <c r="N170" s="1"/>
    </row>
    <row r="171" spans="12:14" x14ac:dyDescent="0.3">
      <c r="L171" s="1"/>
      <c r="M171" s="1"/>
      <c r="N171" s="1"/>
    </row>
    <row r="172" spans="12:14" x14ac:dyDescent="0.3">
      <c r="L172" s="1"/>
      <c r="M172" s="1"/>
      <c r="N172" s="1"/>
    </row>
    <row r="173" spans="12:14" x14ac:dyDescent="0.3">
      <c r="L173" s="1"/>
      <c r="M173" s="1"/>
      <c r="N173" s="1"/>
    </row>
    <row r="174" spans="12:14" x14ac:dyDescent="0.3">
      <c r="L174" s="1"/>
      <c r="M174" s="1"/>
      <c r="N174" s="1"/>
    </row>
    <row r="175" spans="12:14" x14ac:dyDescent="0.3">
      <c r="L175" s="1"/>
      <c r="M175" s="1"/>
      <c r="N175" s="1"/>
    </row>
    <row r="176" spans="12:14" x14ac:dyDescent="0.3">
      <c r="L176" s="1"/>
      <c r="M176" s="1"/>
      <c r="N176" s="1"/>
    </row>
    <row r="177" spans="12:14" x14ac:dyDescent="0.3">
      <c r="L177" s="1"/>
      <c r="M177" s="1"/>
      <c r="N177" s="1"/>
    </row>
    <row r="178" spans="12:14" x14ac:dyDescent="0.3">
      <c r="L178" s="1"/>
      <c r="M178" s="1"/>
      <c r="N178" s="1"/>
    </row>
    <row r="179" spans="12:14" x14ac:dyDescent="0.3">
      <c r="L179" s="1"/>
      <c r="M179" s="1"/>
      <c r="N179" s="1"/>
    </row>
    <row r="180" spans="12:14" x14ac:dyDescent="0.3">
      <c r="L180" s="1"/>
      <c r="M180" s="1"/>
      <c r="N180" s="1"/>
    </row>
    <row r="181" spans="12:14" x14ac:dyDescent="0.3">
      <c r="L181" s="1"/>
      <c r="M181" s="1"/>
      <c r="N181" s="1"/>
    </row>
    <row r="182" spans="12:14" x14ac:dyDescent="0.3">
      <c r="L182" s="1"/>
      <c r="M182" s="1"/>
      <c r="N182" s="1"/>
    </row>
    <row r="183" spans="12:14" x14ac:dyDescent="0.3">
      <c r="L183" s="1"/>
      <c r="M183" s="1"/>
      <c r="N183" s="1"/>
    </row>
    <row r="184" spans="12:14" x14ac:dyDescent="0.3">
      <c r="L184" s="1"/>
      <c r="M184" s="1"/>
      <c r="N184" s="1"/>
    </row>
    <row r="185" spans="12:14" x14ac:dyDescent="0.3">
      <c r="L185" s="1"/>
      <c r="M185" s="1"/>
      <c r="N185" s="1"/>
    </row>
    <row r="186" spans="12:14" x14ac:dyDescent="0.3">
      <c r="L186" s="1"/>
      <c r="M186" s="1"/>
      <c r="N186" s="1"/>
    </row>
    <row r="187" spans="12:14" x14ac:dyDescent="0.3">
      <c r="L187" s="1"/>
      <c r="M187" s="1"/>
      <c r="N187" s="1"/>
    </row>
    <row r="188" spans="12:14" x14ac:dyDescent="0.3">
      <c r="L188" s="1"/>
      <c r="M188" s="1"/>
      <c r="N188" s="1"/>
    </row>
    <row r="189" spans="12:14" x14ac:dyDescent="0.3">
      <c r="L189" s="1"/>
      <c r="M189" s="1"/>
      <c r="N189" s="1"/>
    </row>
    <row r="190" spans="12:14" x14ac:dyDescent="0.3">
      <c r="L190" s="1"/>
      <c r="M190" s="1"/>
      <c r="N190" s="1"/>
    </row>
  </sheetData>
  <mergeCells count="11">
    <mergeCell ref="D45:H45"/>
    <mergeCell ref="C46:C51"/>
    <mergeCell ref="E36:H36"/>
    <mergeCell ref="C37:C42"/>
    <mergeCell ref="C8:F8"/>
    <mergeCell ref="H8:K8"/>
    <mergeCell ref="E18:H18"/>
    <mergeCell ref="C19:C24"/>
    <mergeCell ref="C12:D12"/>
    <mergeCell ref="E27:H27"/>
    <mergeCell ref="C28:C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IVSurface</vt:lpstr>
      <vt:lpstr>q</vt:lpstr>
      <vt:lpstr>r_</vt:lpstr>
      <vt:lpstr>S</vt:lpstr>
      <vt:lpstr>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</dc:creator>
  <cp:lastModifiedBy>Mohanad A</cp:lastModifiedBy>
  <dcterms:created xsi:type="dcterms:W3CDTF">2026-02-17T06:26:28Z</dcterms:created>
  <dcterms:modified xsi:type="dcterms:W3CDTF">2026-03-04T10:12:43Z</dcterms:modified>
</cp:coreProperties>
</file>