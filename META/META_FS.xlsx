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210418A-D563-4C45-9B23-DC87DA86EBAA}" xr6:coauthVersionLast="47" xr6:coauthVersionMax="47" xr10:uidLastSave="{00000000-0000-0000-0000-000000000000}"/>
  <bookViews>
    <workbookView xWindow="-28920" yWindow="660" windowWidth="29040" windowHeight="15720" xr2:uid="{D01B25C2-CA04-4D87-8896-28C88946E0C3}"/>
  </bookViews>
  <sheets>
    <sheet name="Working Model" sheetId="1" r:id="rId1"/>
    <sheet name="Inputs" sheetId="6" r:id="rId2"/>
    <sheet name="Notes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6" l="1"/>
  <c r="G13" i="6" s="1"/>
  <c r="H13" i="6" s="1"/>
  <c r="I13" i="6" s="1"/>
  <c r="E21" i="6"/>
  <c r="Y29" i="1" s="1"/>
  <c r="Z29" i="1" s="1"/>
  <c r="AA29" i="1" s="1"/>
  <c r="AB29" i="1" s="1"/>
  <c r="AC29" i="1" s="1"/>
  <c r="E20" i="6"/>
  <c r="D25" i="6"/>
  <c r="S36" i="1" l="1"/>
  <c r="K39" i="1"/>
  <c r="D68" i="1"/>
  <c r="D67" i="1"/>
  <c r="D65" i="1"/>
  <c r="E68" i="1"/>
  <c r="E67" i="1"/>
  <c r="E64" i="1"/>
  <c r="F68" i="1"/>
  <c r="F67" i="1"/>
  <c r="G68" i="1"/>
  <c r="G67" i="1"/>
  <c r="S68" i="1"/>
  <c r="T68" i="1"/>
  <c r="U68" i="1" l="1"/>
  <c r="U66" i="1"/>
  <c r="U65" i="1"/>
  <c r="V68" i="1"/>
  <c r="V66" i="1"/>
  <c r="W68" i="1"/>
  <c r="W66" i="1"/>
  <c r="X68" i="1"/>
  <c r="X70" i="1" s="1"/>
  <c r="H68" i="1"/>
  <c r="H70" i="1" s="1"/>
  <c r="L68" i="1"/>
  <c r="L70" i="1" s="1"/>
  <c r="I68" i="1"/>
  <c r="I70" i="1" s="1"/>
  <c r="M68" i="1"/>
  <c r="M70" i="1" s="1"/>
  <c r="J68" i="1"/>
  <c r="J65" i="1"/>
  <c r="N68" i="1"/>
  <c r="N70" i="1" s="1"/>
  <c r="K68" i="1"/>
  <c r="K70" i="1" s="1"/>
  <c r="D70" i="1"/>
  <c r="O68" i="1"/>
  <c r="T70" i="1"/>
  <c r="S70" i="1"/>
  <c r="G70" i="1"/>
  <c r="F70" i="1"/>
  <c r="E70" i="1"/>
  <c r="W70" i="1" l="1"/>
  <c r="U70" i="1"/>
  <c r="V70" i="1"/>
  <c r="J70" i="1"/>
  <c r="D57" i="1"/>
  <c r="D56" i="1"/>
  <c r="D54" i="1"/>
  <c r="D53" i="1"/>
  <c r="D52" i="1"/>
  <c r="D51" i="1"/>
  <c r="D46" i="1"/>
  <c r="D45" i="1"/>
  <c r="D39" i="1"/>
  <c r="D42" i="1" s="1"/>
  <c r="E52" i="1"/>
  <c r="E51" i="1"/>
  <c r="E46" i="1"/>
  <c r="E39" i="1"/>
  <c r="E42" i="1" s="1"/>
  <c r="F56" i="1"/>
  <c r="F52" i="1"/>
  <c r="F51" i="1"/>
  <c r="F46" i="1"/>
  <c r="F39" i="1"/>
  <c r="F42" i="1" s="1"/>
  <c r="L55" i="1"/>
  <c r="L54" i="1"/>
  <c r="L52" i="1"/>
  <c r="W39" i="1"/>
  <c r="W42" i="1" s="1"/>
  <c r="W48" i="1" s="1"/>
  <c r="W58" i="1"/>
  <c r="V58" i="1"/>
  <c r="U58" i="1"/>
  <c r="T58" i="1"/>
  <c r="S58" i="1"/>
  <c r="X58" i="1"/>
  <c r="N58" i="1"/>
  <c r="M58" i="1"/>
  <c r="K58" i="1"/>
  <c r="J58" i="1"/>
  <c r="I58" i="1"/>
  <c r="H58" i="1"/>
  <c r="G58" i="1"/>
  <c r="O58" i="1"/>
  <c r="S46" i="1"/>
  <c r="T46" i="1"/>
  <c r="X42" i="1"/>
  <c r="X48" i="1" s="1"/>
  <c r="V42" i="1"/>
  <c r="V48" i="1" s="1"/>
  <c r="U42" i="1"/>
  <c r="U48" i="1" s="1"/>
  <c r="T42" i="1"/>
  <c r="S42" i="1"/>
  <c r="N42" i="1"/>
  <c r="N48" i="1" s="1"/>
  <c r="M42" i="1"/>
  <c r="M48" i="1" s="1"/>
  <c r="L42" i="1"/>
  <c r="L48" i="1" s="1"/>
  <c r="K42" i="1"/>
  <c r="K48" i="1" s="1"/>
  <c r="J42" i="1"/>
  <c r="J48" i="1" s="1"/>
  <c r="I42" i="1"/>
  <c r="I48" i="1" s="1"/>
  <c r="H42" i="1"/>
  <c r="H48" i="1" s="1"/>
  <c r="G42" i="1"/>
  <c r="G48" i="1" s="1"/>
  <c r="O42" i="1"/>
  <c r="O48" i="1" s="1"/>
  <c r="V17" i="1"/>
  <c r="V34" i="1" s="1"/>
  <c r="W17" i="1"/>
  <c r="W34" i="1" s="1"/>
  <c r="X17" i="1"/>
  <c r="X22" i="1"/>
  <c r="V22" i="1"/>
  <c r="U22" i="1"/>
  <c r="T22" i="1"/>
  <c r="S22" i="1"/>
  <c r="U19" i="1"/>
  <c r="T19" i="1"/>
  <c r="S19" i="1"/>
  <c r="N22" i="1"/>
  <c r="M22" i="1"/>
  <c r="L22" i="1"/>
  <c r="K22" i="1"/>
  <c r="J22" i="1"/>
  <c r="I22" i="1"/>
  <c r="H22" i="1"/>
  <c r="G22" i="1"/>
  <c r="F22" i="1"/>
  <c r="E22" i="1"/>
  <c r="D22" i="1"/>
  <c r="N19" i="1"/>
  <c r="M19" i="1"/>
  <c r="L19" i="1"/>
  <c r="K19" i="1"/>
  <c r="J19" i="1"/>
  <c r="I19" i="1"/>
  <c r="H19" i="1"/>
  <c r="G19" i="1"/>
  <c r="F19" i="1"/>
  <c r="E19" i="1"/>
  <c r="D19" i="1"/>
  <c r="O70" i="1"/>
  <c r="W22" i="1"/>
  <c r="O36" i="1"/>
  <c r="O35" i="1"/>
  <c r="O34" i="1"/>
  <c r="O31" i="1"/>
  <c r="O22" i="1"/>
  <c r="O19" i="1"/>
  <c r="O32" i="1" s="1"/>
  <c r="I5" i="1"/>
  <c r="U34" i="1"/>
  <c r="T34" i="1"/>
  <c r="S34" i="1"/>
  <c r="M34" i="1"/>
  <c r="L34" i="1"/>
  <c r="J34" i="1"/>
  <c r="I34" i="1"/>
  <c r="H34" i="1"/>
  <c r="N35" i="1"/>
  <c r="E10" i="6" l="1"/>
  <c r="X69" i="1"/>
  <c r="I8" i="1"/>
  <c r="L58" i="1"/>
  <c r="E48" i="1"/>
  <c r="E58" i="1"/>
  <c r="V19" i="1"/>
  <c r="V23" i="1" s="1"/>
  <c r="V25" i="1" s="1"/>
  <c r="V27" i="1" s="1"/>
  <c r="F58" i="1"/>
  <c r="T48" i="1"/>
  <c r="F48" i="1"/>
  <c r="D58" i="1"/>
  <c r="D48" i="1"/>
  <c r="X31" i="1"/>
  <c r="S48" i="1"/>
  <c r="X34" i="1"/>
  <c r="I23" i="1"/>
  <c r="I25" i="1" s="1"/>
  <c r="I27" i="1" s="1"/>
  <c r="W19" i="1"/>
  <c r="W23" i="1" s="1"/>
  <c r="W25" i="1" s="1"/>
  <c r="W27" i="1" s="1"/>
  <c r="M23" i="1"/>
  <c r="M25" i="1" s="1"/>
  <c r="M27" i="1" s="1"/>
  <c r="E23" i="1"/>
  <c r="E25" i="1" s="1"/>
  <c r="E27" i="1" s="1"/>
  <c r="N23" i="1"/>
  <c r="N25" i="1" s="1"/>
  <c r="N27" i="1" s="1"/>
  <c r="H23" i="1"/>
  <c r="H25" i="1" s="1"/>
  <c r="H27" i="1" s="1"/>
  <c r="J23" i="1"/>
  <c r="J25" i="1" s="1"/>
  <c r="J27" i="1" s="1"/>
  <c r="D23" i="1"/>
  <c r="D25" i="1" s="1"/>
  <c r="D27" i="1" s="1"/>
  <c r="D61" i="1" s="1"/>
  <c r="L23" i="1"/>
  <c r="L25" i="1" s="1"/>
  <c r="L27" i="1" s="1"/>
  <c r="F23" i="1"/>
  <c r="F25" i="1" s="1"/>
  <c r="F27" i="1" s="1"/>
  <c r="G23" i="1"/>
  <c r="G25" i="1" s="1"/>
  <c r="G27" i="1" s="1"/>
  <c r="G61" i="1" s="1"/>
  <c r="K23" i="1"/>
  <c r="K25" i="1" s="1"/>
  <c r="K27" i="1" s="1"/>
  <c r="K61" i="1" s="1"/>
  <c r="X36" i="1"/>
  <c r="X35" i="1"/>
  <c r="X19" i="1"/>
  <c r="X32" i="1" s="1"/>
  <c r="T23" i="1"/>
  <c r="T25" i="1" s="1"/>
  <c r="T27" i="1" s="1"/>
  <c r="U23" i="1"/>
  <c r="U25" i="1" s="1"/>
  <c r="U27" i="1" s="1"/>
  <c r="S23" i="1"/>
  <c r="S25" i="1" s="1"/>
  <c r="S27" i="1" s="1"/>
  <c r="O23" i="1"/>
  <c r="O25" i="1" s="1"/>
  <c r="O27" i="1" s="1"/>
  <c r="N36" i="1"/>
  <c r="M36" i="1"/>
  <c r="T36" i="1"/>
  <c r="H35" i="1"/>
  <c r="I35" i="1"/>
  <c r="J35" i="1"/>
  <c r="W35" i="1"/>
  <c r="S35" i="1"/>
  <c r="L35" i="1"/>
  <c r="T35" i="1"/>
  <c r="M35" i="1"/>
  <c r="U35" i="1"/>
  <c r="L36" i="1"/>
  <c r="V35" i="1"/>
  <c r="U36" i="1"/>
  <c r="I36" i="1"/>
  <c r="V36" i="1"/>
  <c r="H31" i="1"/>
  <c r="H36" i="1"/>
  <c r="J36" i="1"/>
  <c r="W36" i="1"/>
  <c r="N31" i="1"/>
  <c r="N34" i="1"/>
  <c r="J31" i="1"/>
  <c r="I31" i="1"/>
  <c r="M31" i="1"/>
  <c r="L31" i="1"/>
  <c r="Y17" i="1" l="1"/>
  <c r="F10" i="6"/>
  <c r="Y69" i="1"/>
  <c r="Y68" i="1" s="1"/>
  <c r="W28" i="1"/>
  <c r="W61" i="1"/>
  <c r="G28" i="1"/>
  <c r="U28" i="1"/>
  <c r="U61" i="1"/>
  <c r="I28" i="1"/>
  <c r="I61" i="1"/>
  <c r="E28" i="1"/>
  <c r="E61" i="1"/>
  <c r="F28" i="1"/>
  <c r="F61" i="1"/>
  <c r="L28" i="1"/>
  <c r="L61" i="1"/>
  <c r="T28" i="1"/>
  <c r="T61" i="1"/>
  <c r="D28" i="1"/>
  <c r="J28" i="1"/>
  <c r="J61" i="1"/>
  <c r="M28" i="1"/>
  <c r="M61" i="1"/>
  <c r="H28" i="1"/>
  <c r="H61" i="1"/>
  <c r="S28" i="1"/>
  <c r="S61" i="1"/>
  <c r="V28" i="1"/>
  <c r="V61" i="1"/>
  <c r="N28" i="1"/>
  <c r="N61" i="1"/>
  <c r="O28" i="1"/>
  <c r="O61" i="1"/>
  <c r="K28" i="1"/>
  <c r="O33" i="1"/>
  <c r="X23" i="1"/>
  <c r="X33" i="1" s="1"/>
  <c r="K35" i="1"/>
  <c r="K36" i="1"/>
  <c r="K31" i="1"/>
  <c r="K34" i="1"/>
  <c r="Y21" i="1" l="1"/>
  <c r="Y18" i="1"/>
  <c r="Y19" i="1" s="1"/>
  <c r="Y20" i="1"/>
  <c r="Y22" i="1" s="1"/>
  <c r="Y23" i="1" s="1"/>
  <c r="Y25" i="1" s="1"/>
  <c r="Z17" i="1"/>
  <c r="G10" i="6"/>
  <c r="X25" i="1"/>
  <c r="X27" i="1" s="1"/>
  <c r="Z18" i="1" l="1"/>
  <c r="Z19" i="1" s="1"/>
  <c r="Z20" i="1"/>
  <c r="Z21" i="1"/>
  <c r="Z22" i="1" s="1"/>
  <c r="Z23" i="1" s="1"/>
  <c r="Z69" i="1"/>
  <c r="Z68" i="1" s="1"/>
  <c r="H10" i="6"/>
  <c r="AA17" i="1"/>
  <c r="Y26" i="1"/>
  <c r="Y27" i="1" s="1"/>
  <c r="Y28" i="1" s="1"/>
  <c r="X28" i="1"/>
  <c r="X61" i="1"/>
  <c r="AA18" i="1" l="1"/>
  <c r="AA19" i="1" s="1"/>
  <c r="AA20" i="1"/>
  <c r="AA21" i="1"/>
  <c r="AA69" i="1"/>
  <c r="AA68" i="1" s="1"/>
  <c r="AB17" i="1"/>
  <c r="I10" i="6"/>
  <c r="AC17" i="1" s="1"/>
  <c r="Z25" i="1"/>
  <c r="Z26" i="1" s="1"/>
  <c r="Z27" i="1" s="1"/>
  <c r="Z28" i="1" s="1"/>
  <c r="AA22" i="1" l="1"/>
  <c r="AA23" i="1" s="1"/>
  <c r="AA25" i="1" s="1"/>
  <c r="AA26" i="1" s="1"/>
  <c r="AA27" i="1" s="1"/>
  <c r="AA28" i="1" s="1"/>
  <c r="AC20" i="1"/>
  <c r="AC21" i="1"/>
  <c r="AC22" i="1" s="1"/>
  <c r="AC18" i="1"/>
  <c r="AC19" i="1" s="1"/>
  <c r="AC69" i="1"/>
  <c r="AB20" i="1"/>
  <c r="AB21" i="1"/>
  <c r="AB18" i="1"/>
  <c r="AB69" i="1"/>
  <c r="AB68" i="1" s="1"/>
  <c r="AB19" i="1"/>
  <c r="AC23" i="1" l="1"/>
  <c r="AB22" i="1"/>
  <c r="AB23" i="1" s="1"/>
  <c r="AB25" i="1" s="1"/>
  <c r="AB26" i="1" s="1"/>
  <c r="AB27" i="1" s="1"/>
  <c r="AB28" i="1" s="1"/>
  <c r="AC68" i="1"/>
  <c r="AC25" i="1"/>
  <c r="AC26" i="1" l="1"/>
  <c r="AC27" i="1" s="1"/>
  <c r="AC28" i="1" s="1"/>
  <c r="T31" i="1"/>
  <c r="S31" i="1"/>
  <c r="S32" i="1"/>
  <c r="I32" i="1"/>
  <c r="U31" i="1"/>
  <c r="V31" i="1"/>
  <c r="W31" i="1"/>
  <c r="K33" i="1" l="1"/>
  <c r="T33" i="1"/>
  <c r="K32" i="1"/>
  <c r="T32" i="1"/>
  <c r="H32" i="1"/>
  <c r="I33" i="1"/>
  <c r="H33" i="1" l="1"/>
  <c r="S33" i="1"/>
  <c r="W32" i="1"/>
  <c r="U32" i="1"/>
  <c r="J32" i="1" l="1"/>
  <c r="N32" i="1"/>
  <c r="M32" i="1"/>
  <c r="L32" i="1"/>
  <c r="V32" i="1"/>
  <c r="W33" i="1" l="1"/>
  <c r="U33" i="1"/>
  <c r="M33" i="1"/>
  <c r="J33" i="1"/>
  <c r="V33" i="1"/>
  <c r="L33" i="1"/>
  <c r="N33" i="1" l="1"/>
</calcChain>
</file>

<file path=xl/sharedStrings.xml><?xml version="1.0" encoding="utf-8"?>
<sst xmlns="http://schemas.openxmlformats.org/spreadsheetml/2006/main" count="183" uniqueCount="151">
  <si>
    <t>Capital Structure</t>
  </si>
  <si>
    <t>Price</t>
  </si>
  <si>
    <t>Shares outstanding</t>
  </si>
  <si>
    <t>MC</t>
  </si>
  <si>
    <t>Cash</t>
  </si>
  <si>
    <t>Debt</t>
  </si>
  <si>
    <t>EV</t>
  </si>
  <si>
    <t>Income Statement</t>
  </si>
  <si>
    <t>Revenue</t>
  </si>
  <si>
    <t>COGS</t>
  </si>
  <si>
    <t>Gross Profit</t>
  </si>
  <si>
    <t>Q125</t>
  </si>
  <si>
    <t>Q225</t>
  </si>
  <si>
    <t>Q325</t>
  </si>
  <si>
    <t>Q425</t>
  </si>
  <si>
    <t>FY2022</t>
  </si>
  <si>
    <t>FY2023</t>
  </si>
  <si>
    <t>FY2024</t>
  </si>
  <si>
    <t>FY2025</t>
  </si>
  <si>
    <t>FY2026</t>
  </si>
  <si>
    <t>Operating expenses</t>
  </si>
  <si>
    <t>Interest exp</t>
  </si>
  <si>
    <t>Pretax Income</t>
  </si>
  <si>
    <t>Tax</t>
  </si>
  <si>
    <t>Net Income</t>
  </si>
  <si>
    <t>EPS</t>
  </si>
  <si>
    <t>Gross Margin</t>
  </si>
  <si>
    <t>Operating Margin</t>
  </si>
  <si>
    <t>Balance Sheet</t>
  </si>
  <si>
    <t>Assets</t>
  </si>
  <si>
    <t>A/R</t>
  </si>
  <si>
    <t>OCA</t>
  </si>
  <si>
    <t>PPE</t>
  </si>
  <si>
    <t>Goodwill</t>
  </si>
  <si>
    <t>Equity &amp; Liabilities</t>
  </si>
  <si>
    <t>A/P</t>
  </si>
  <si>
    <t>L+SE</t>
  </si>
  <si>
    <t>Cashflow</t>
  </si>
  <si>
    <t>Model NI</t>
  </si>
  <si>
    <t>SBC</t>
  </si>
  <si>
    <t>Other</t>
  </si>
  <si>
    <t>CFFO</t>
  </si>
  <si>
    <t>Q324</t>
  </si>
  <si>
    <t>Main</t>
  </si>
  <si>
    <t>Quartely</t>
  </si>
  <si>
    <t>Annually</t>
  </si>
  <si>
    <t>Q224</t>
  </si>
  <si>
    <t>Q424</t>
  </si>
  <si>
    <t>Q124</t>
  </si>
  <si>
    <t>FY2027</t>
  </si>
  <si>
    <t>FY2028</t>
  </si>
  <si>
    <t>FY2021</t>
  </si>
  <si>
    <t>FY2020</t>
  </si>
  <si>
    <t>Current Assets</t>
  </si>
  <si>
    <t>D&amp;A</t>
  </si>
  <si>
    <t>$mil</t>
  </si>
  <si>
    <t>Financial Statements</t>
  </si>
  <si>
    <t>Capex</t>
  </si>
  <si>
    <t>WAAC</t>
  </si>
  <si>
    <t>EBITDA/Revenue</t>
  </si>
  <si>
    <t>GP/Revenue</t>
  </si>
  <si>
    <t>Tax Rate</t>
  </si>
  <si>
    <t>R&amp;D</t>
  </si>
  <si>
    <t>Reported NI</t>
  </si>
  <si>
    <t>RD% of Revenue</t>
  </si>
  <si>
    <t>Financial Ratios</t>
  </si>
  <si>
    <t>FY2029</t>
  </si>
  <si>
    <t>FY2030</t>
  </si>
  <si>
    <t>Projections</t>
  </si>
  <si>
    <t>31/12/2026</t>
  </si>
  <si>
    <t>31/12/2027</t>
  </si>
  <si>
    <t>31/12/2028</t>
  </si>
  <si>
    <t>31/12/2029</t>
  </si>
  <si>
    <t>31/12/2030</t>
  </si>
  <si>
    <t>Net Revenue</t>
  </si>
  <si>
    <t>Mohanad Assali</t>
  </si>
  <si>
    <t>Q323</t>
  </si>
  <si>
    <t>Q223</t>
  </si>
  <si>
    <t>Q423</t>
  </si>
  <si>
    <t>Q123</t>
  </si>
  <si>
    <t>Revenue Growth y/y</t>
  </si>
  <si>
    <t>COGS Margin</t>
  </si>
  <si>
    <t>SG&amp;D% of Revenue</t>
  </si>
  <si>
    <t>https://investor.atmeta.com/investor-news/default.aspx</t>
  </si>
  <si>
    <t>Q126</t>
  </si>
  <si>
    <t>Meta Inc.</t>
  </si>
  <si>
    <t>31/03/23</t>
  </si>
  <si>
    <t>30/06/23</t>
  </si>
  <si>
    <t>30/09/23</t>
  </si>
  <si>
    <t>31/12/23</t>
  </si>
  <si>
    <t>31/03/24</t>
  </si>
  <si>
    <t>30/06/24</t>
  </si>
  <si>
    <t>30/09/24</t>
  </si>
  <si>
    <t>31/12/24</t>
  </si>
  <si>
    <t>31/03/25</t>
  </si>
  <si>
    <t>30/06/25</t>
  </si>
  <si>
    <t>30/09/25</t>
  </si>
  <si>
    <t>31/12/25</t>
  </si>
  <si>
    <t>31/03/26</t>
  </si>
  <si>
    <t>31/12/20</t>
  </si>
  <si>
    <t>31/12/21</t>
  </si>
  <si>
    <t>31/12/22</t>
  </si>
  <si>
    <t>Non-marketable equity invest.</t>
  </si>
  <si>
    <t xml:space="preserve">operating lease </t>
  </si>
  <si>
    <t>other assets</t>
  </si>
  <si>
    <t>Accu exp &amp; OCL</t>
  </si>
  <si>
    <t>Operating Lease Liabilities</t>
  </si>
  <si>
    <t>OL</t>
  </si>
  <si>
    <t>Income Taxes</t>
  </si>
  <si>
    <t>SE</t>
  </si>
  <si>
    <t>company doesn’t carry debt</t>
  </si>
  <si>
    <t>DIT</t>
  </si>
  <si>
    <t>Equity Investments &amp; charges</t>
  </si>
  <si>
    <t>Shares Outstanding</t>
  </si>
  <si>
    <t>Notes</t>
  </si>
  <si>
    <t>https://www.sec.gov/Archives/edgar/data/1326801/000162828026003942/meta-20251231.htm</t>
  </si>
  <si>
    <t>(10-k)</t>
  </si>
  <si>
    <t>Inputs</t>
  </si>
  <si>
    <t xml:space="preserve">‎ </t>
  </si>
  <si>
    <t>Guidance/Notes</t>
  </si>
  <si>
    <t>Meta guided Q126 at 30%. Over 20% is JPM Guidance</t>
  </si>
  <si>
    <t>(10-K) Report</t>
  </si>
  <si>
    <t>Operating Income (EBIT)</t>
  </si>
  <si>
    <t>Headcount</t>
  </si>
  <si>
    <t>NWC</t>
  </si>
  <si>
    <t>Guidance for 2026 is $115B–$135B. I expect that to continue for the next till 2028</t>
  </si>
  <si>
    <t>META Servers useful life at 5.5yrs - Look at Meta 2024 Report Page 1, Footnote1 ---  https://investor.atmeta.com/investor-news/press-release-details/2025/Meta-Reports-Fourth-Quarter-and-Full-Year-2024-Results/</t>
  </si>
  <si>
    <t>Change in NWC</t>
  </si>
  <si>
    <t>FY2025A</t>
  </si>
  <si>
    <t>Long term growth rate (g)</t>
  </si>
  <si>
    <t>SG&amp;A</t>
  </si>
  <si>
    <t>Last Modified 2/23/2026</t>
  </si>
  <si>
    <t>COGS is usually 18-20% of revenue. Mark zuckerberg projects atleast 163B in spending (AI Infrastructure), Elevated to 25% to account for higher energy and maintenance costs associated with AI infrastructure</t>
  </si>
  <si>
    <t>Maintained at 30% to reflect Meta's ongoing commitment to open-source AI</t>
  </si>
  <si>
    <t>Stabilized at 12% following 'Year of Efficiency' restructuring</t>
  </si>
  <si>
    <t>15% based on management guidance of 13%–16% for FY2026</t>
  </si>
  <si>
    <t>%Revenue</t>
  </si>
  <si>
    <t>Assumptions/Inputs</t>
  </si>
  <si>
    <t>Growth &amp; Revenue</t>
  </si>
  <si>
    <t>Expenses</t>
  </si>
  <si>
    <t>Capex - D&amp;A</t>
  </si>
  <si>
    <t>EBITDA Multiple</t>
  </si>
  <si>
    <t>Net Working Capital</t>
  </si>
  <si>
    <t>14.0x selected as a conservative mid-point vs. peer median (14.8x)</t>
  </si>
  <si>
    <t>Valuation</t>
  </si>
  <si>
    <t>One "Trap" to Watch Out For</t>
  </si>
  <si>
    <t>In your Expenses section, you have the percentages (COGS 25%, R&amp;D 30%, SG&amp;A 12%).</t>
  </si>
  <si>
    <t>The Math: $25 + 30 + 12 = 67\%$.</t>
  </si>
  <si>
    <t>The Result: This implies an Operating Margin (EBIT) of 33%.</t>
  </si>
  <si>
    <t>The Jury Question: "Why is your margin 33% when Meta just reported 41% in 2024?"</t>
  </si>
  <si>
    <t>Your Answer: "We are modeling a 'Margin Compression' scenario due to the massive energy and compute costs of AI. We chose to be conservative to ensure our $684 price target is sustainable even if AI costs are higher than expected."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</si>
</sst>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6" formatCode="mm/dd/yy;@"/>
    <numFmt numFmtId="167" formatCode="0.0\x_);\(0.0\x\);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9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0"/>
      <color rgb="FF0A0A0A"/>
      <name val="Arial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5">
    <xf numFmtId="0" fontId="0" fillId="0" borderId="0" xfId="0"/>
    <xf numFmtId="3" fontId="0" fillId="0" borderId="0" xfId="0" applyNumberFormat="1"/>
    <xf numFmtId="0" fontId="1" fillId="0" borderId="0" xfId="0" applyFont="1"/>
    <xf numFmtId="4" fontId="0" fillId="0" borderId="0" xfId="0" applyNumberFormat="1"/>
    <xf numFmtId="10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0" fontId="1" fillId="2" borderId="0" xfId="0" applyFont="1" applyFill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3" borderId="0" xfId="0" applyFill="1"/>
    <xf numFmtId="0" fontId="2" fillId="3" borderId="0" xfId="0" applyFont="1" applyFill="1"/>
    <xf numFmtId="14" fontId="0" fillId="0" borderId="0" xfId="0" applyNumberFormat="1"/>
    <xf numFmtId="0" fontId="3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4" fillId="0" borderId="0" xfId="0" applyFont="1"/>
    <xf numFmtId="3" fontId="3" fillId="0" borderId="0" xfId="0" applyNumberFormat="1" applyFont="1"/>
    <xf numFmtId="0" fontId="1" fillId="3" borderId="0" xfId="0" applyFont="1" applyFill="1"/>
    <xf numFmtId="0" fontId="0" fillId="4" borderId="0" xfId="0" applyFill="1"/>
    <xf numFmtId="9" fontId="0" fillId="0" borderId="0" xfId="0" applyNumberFormat="1"/>
    <xf numFmtId="10" fontId="0" fillId="4" borderId="0" xfId="0" applyNumberFormat="1" applyFill="1"/>
    <xf numFmtId="2" fontId="0" fillId="0" borderId="0" xfId="0" applyNumberFormat="1"/>
    <xf numFmtId="0" fontId="1" fillId="4" borderId="0" xfId="0" applyFont="1" applyFill="1"/>
    <xf numFmtId="164" fontId="0" fillId="4" borderId="0" xfId="0" applyNumberFormat="1" applyFill="1"/>
    <xf numFmtId="0" fontId="5" fillId="0" borderId="0" xfId="1"/>
    <xf numFmtId="0" fontId="0" fillId="0" borderId="6" xfId="0" applyBorder="1"/>
    <xf numFmtId="3" fontId="0" fillId="6" borderId="6" xfId="0" applyNumberFormat="1" applyFill="1" applyBorder="1"/>
    <xf numFmtId="3" fontId="1" fillId="6" borderId="6" xfId="0" applyNumberFormat="1" applyFont="1" applyFill="1" applyBorder="1"/>
    <xf numFmtId="4" fontId="0" fillId="6" borderId="6" xfId="0" applyNumberFormat="1" applyFill="1" applyBorder="1"/>
    <xf numFmtId="0" fontId="0" fillId="6" borderId="6" xfId="0" applyFill="1" applyBorder="1"/>
    <xf numFmtId="0" fontId="6" fillId="0" borderId="0" xfId="0" applyFont="1"/>
    <xf numFmtId="0" fontId="7" fillId="0" borderId="0" xfId="0" applyFont="1"/>
    <xf numFmtId="0" fontId="0" fillId="0" borderId="7" xfId="0" applyBorder="1"/>
    <xf numFmtId="3" fontId="1" fillId="6" borderId="0" xfId="0" applyNumberFormat="1" applyFont="1" applyFill="1"/>
    <xf numFmtId="3" fontId="0" fillId="2" borderId="6" xfId="0" applyNumberFormat="1" applyFill="1" applyBorder="1"/>
    <xf numFmtId="166" fontId="0" fillId="0" borderId="0" xfId="0" applyNumberFormat="1"/>
    <xf numFmtId="166" fontId="0" fillId="6" borderId="6" xfId="0" applyNumberFormat="1" applyFill="1" applyBorder="1"/>
    <xf numFmtId="3" fontId="0" fillId="6" borderId="9" xfId="0" applyNumberFormat="1" applyFill="1" applyBorder="1"/>
    <xf numFmtId="3" fontId="1" fillId="6" borderId="8" xfId="0" applyNumberFormat="1" applyFont="1" applyFill="1" applyBorder="1"/>
    <xf numFmtId="3" fontId="0" fillId="6" borderId="8" xfId="0" applyNumberFormat="1" applyFill="1" applyBorder="1"/>
    <xf numFmtId="3" fontId="0" fillId="0" borderId="8" xfId="0" applyNumberFormat="1" applyBorder="1"/>
    <xf numFmtId="0" fontId="0" fillId="0" borderId="8" xfId="0" applyBorder="1"/>
    <xf numFmtId="2" fontId="1" fillId="0" borderId="0" xfId="0" applyNumberFormat="1" applyFont="1"/>
    <xf numFmtId="10" fontId="1" fillId="0" borderId="0" xfId="0" applyNumberFormat="1" applyFont="1"/>
    <xf numFmtId="0" fontId="3" fillId="0" borderId="1" xfId="0" applyFont="1" applyBorder="1"/>
    <xf numFmtId="3" fontId="0" fillId="6" borderId="10" xfId="0" applyNumberFormat="1" applyFill="1" applyBorder="1"/>
    <xf numFmtId="3" fontId="0" fillId="6" borderId="11" xfId="0" applyNumberFormat="1" applyFill="1" applyBorder="1"/>
    <xf numFmtId="0" fontId="0" fillId="2" borderId="1" xfId="0" applyFill="1" applyBorder="1"/>
    <xf numFmtId="3" fontId="8" fillId="6" borderId="8" xfId="0" applyNumberFormat="1" applyFont="1" applyFill="1" applyBorder="1"/>
    <xf numFmtId="10" fontId="0" fillId="6" borderId="8" xfId="0" applyNumberFormat="1" applyFill="1" applyBorder="1"/>
    <xf numFmtId="3" fontId="0" fillId="5" borderId="8" xfId="0" applyNumberFormat="1" applyFill="1" applyBorder="1"/>
    <xf numFmtId="167" fontId="0" fillId="0" borderId="0" xfId="0" applyNumberFormat="1"/>
    <xf numFmtId="10" fontId="5" fillId="0" borderId="0" xfId="1" applyNumberFormat="1"/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0" fontId="5" fillId="0" borderId="0" xfId="1" applyNumberFormat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/>
    <xf numFmtId="0" fontId="3" fillId="0" borderId="12" xfId="0" applyFont="1" applyBorder="1"/>
    <xf numFmtId="10" fontId="0" fillId="0" borderId="0" xfId="0" applyNumberFormat="1" applyAlignment="1">
      <alignment horizontal="right"/>
    </xf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CCC"/>
      <color rgb="FFFF9999"/>
      <color rgb="FFFFF8E5"/>
      <color rgb="FFF0F0F0"/>
      <color rgb="FFFBE4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601980</xdr:colOff>
      <xdr:row>13</xdr:row>
      <xdr:rowOff>142330</xdr:rowOff>
    </xdr:from>
    <xdr:to>
      <xdr:col>24</xdr:col>
      <xdr:colOff>849</xdr:colOff>
      <xdr:row>76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85F8845-2CB8-2800-32E6-EEDC6014BF58}"/>
            </a:ext>
          </a:extLst>
        </xdr:cNvPr>
        <xdr:cNvCxnSpPr/>
      </xdr:nvCxnSpPr>
      <xdr:spPr>
        <a:xfrm>
          <a:off x="16537305" y="2495005"/>
          <a:ext cx="8469" cy="10766921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</xdr:colOff>
      <xdr:row>12</xdr:row>
      <xdr:rowOff>97155</xdr:rowOff>
    </xdr:from>
    <xdr:to>
      <xdr:col>15</xdr:col>
      <xdr:colOff>11430</xdr:colOff>
      <xdr:row>76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A535F53-B459-469C-B1A4-1BCAE361C47F}"/>
            </a:ext>
          </a:extLst>
        </xdr:cNvPr>
        <xdr:cNvCxnSpPr/>
      </xdr:nvCxnSpPr>
      <xdr:spPr>
        <a:xfrm>
          <a:off x="11241405" y="2268855"/>
          <a:ext cx="9525" cy="11199495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182096</xdr:colOff>
      <xdr:row>0</xdr:row>
      <xdr:rowOff>0</xdr:rowOff>
    </xdr:from>
    <xdr:to>
      <xdr:col>32</xdr:col>
      <xdr:colOff>591446</xdr:colOff>
      <xdr:row>5</xdr:row>
      <xdr:rowOff>94241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6E08068-3227-F609-06F8-159B41AE9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00184" y="0"/>
          <a:ext cx="1010434" cy="10047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100965</xdr:colOff>
      <xdr:row>0</xdr:row>
      <xdr:rowOff>0</xdr:rowOff>
    </xdr:from>
    <xdr:to>
      <xdr:col>14</xdr:col>
      <xdr:colOff>587275</xdr:colOff>
      <xdr:row>5</xdr:row>
      <xdr:rowOff>169545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FFB383-AC08-454B-802D-13F208D84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0480" y="0"/>
          <a:ext cx="1103530" cy="10782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100965</xdr:colOff>
      <xdr:row>0</xdr:row>
      <xdr:rowOff>0</xdr:rowOff>
    </xdr:from>
    <xdr:to>
      <xdr:col>14</xdr:col>
      <xdr:colOff>587275</xdr:colOff>
      <xdr:row>5</xdr:row>
      <xdr:rowOff>169545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316D60-2889-47A1-81ED-A74B2A886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4290" y="0"/>
          <a:ext cx="1095910" cy="1074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www.sec.gov/Archives/edgar/data/1326801/000162828026003942/meta-20251231.htm" TargetMode="External"/><Relationship Id="rId1" Type="http://schemas.openxmlformats.org/officeDocument/2006/relationships/hyperlink" Target="https://investor.atmeta.com/investor-news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636C-E0E6-491F-964D-AA690062476A}">
  <dimension ref="A1:BD225"/>
  <sheetViews>
    <sheetView tabSelected="1" zoomScale="80" zoomScaleNormal="80" workbookViewId="0">
      <pane xSplit="3" ySplit="14" topLeftCell="D15" activePane="bottomRight" state="frozen"/>
      <selection pane="topRight" activeCell="D1" sqref="D1"/>
      <selection pane="bottomLeft" activeCell="A13" sqref="A13"/>
      <selection pane="bottomRight" activeCell="Q87" sqref="Q87"/>
    </sheetView>
  </sheetViews>
  <sheetFormatPr defaultRowHeight="14.4" x14ac:dyDescent="0.3"/>
  <cols>
    <col min="3" max="3" width="18" customWidth="1"/>
    <col min="4" max="17" width="10.109375" customWidth="1"/>
    <col min="18" max="18" width="7.77734375" customWidth="1"/>
    <col min="19" max="22" width="9.6640625" bestFit="1" customWidth="1"/>
    <col min="23" max="23" width="10.5546875" customWidth="1"/>
    <col min="27" max="27" width="10.5546875" customWidth="1"/>
    <col min="29" max="29" width="8.88671875" customWidth="1"/>
    <col min="30" max="30" width="1.5546875" customWidth="1"/>
    <col min="31" max="31" width="1" customWidth="1"/>
    <col min="34" max="34" width="7.33203125" customWidth="1"/>
  </cols>
  <sheetData>
    <row r="1" spans="1:51" x14ac:dyDescent="0.3">
      <c r="A1" s="12" t="s">
        <v>131</v>
      </c>
      <c r="B1" s="12"/>
      <c r="C1" s="12"/>
      <c r="D1" s="12"/>
      <c r="E1" s="12"/>
      <c r="F1" s="12"/>
      <c r="G1" s="12"/>
      <c r="H1" s="12"/>
      <c r="I1" s="12"/>
      <c r="J1" s="12" t="s">
        <v>85</v>
      </c>
      <c r="K1" s="12"/>
      <c r="L1" s="12"/>
      <c r="M1" s="12"/>
      <c r="N1" s="12"/>
      <c r="O1" s="12"/>
      <c r="P1" s="12"/>
      <c r="Q1" s="12"/>
      <c r="R1" s="12"/>
      <c r="S1" s="12" t="s">
        <v>75</v>
      </c>
      <c r="T1" s="12"/>
      <c r="U1" s="12"/>
      <c r="V1" s="12"/>
      <c r="W1" s="12"/>
      <c r="X1" s="12"/>
      <c r="Y1" s="12"/>
      <c r="Z1" s="12"/>
      <c r="AA1" s="12"/>
      <c r="AB1" s="12"/>
      <c r="AC1" s="12"/>
      <c r="AD1" s="10"/>
      <c r="AE1" s="10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spans="1:51" x14ac:dyDescent="0.3">
      <c r="A2" s="14" t="s">
        <v>43</v>
      </c>
      <c r="B2" s="9"/>
      <c r="AD2" s="10"/>
      <c r="AE2" s="10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</row>
    <row r="3" spans="1:51" x14ac:dyDescent="0.3">
      <c r="A3" s="9"/>
      <c r="B3" s="9"/>
      <c r="F3" s="21" t="s">
        <v>0</v>
      </c>
      <c r="G3" s="11"/>
      <c r="H3" t="s">
        <v>1</v>
      </c>
      <c r="I3" s="3">
        <v>639</v>
      </c>
      <c r="K3" s="28"/>
      <c r="M3" s="28"/>
      <c r="AD3" s="10"/>
      <c r="AE3" s="10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</row>
    <row r="4" spans="1:51" x14ac:dyDescent="0.3">
      <c r="A4" s="19"/>
      <c r="B4" s="9"/>
      <c r="H4" t="s">
        <v>2</v>
      </c>
      <c r="I4" s="1">
        <v>2565</v>
      </c>
      <c r="K4" s="19"/>
      <c r="L4" s="2"/>
      <c r="M4" s="28"/>
      <c r="N4" s="19"/>
      <c r="P4" s="19"/>
      <c r="Q4" s="19"/>
      <c r="V4" s="2"/>
      <c r="AA4" s="2"/>
      <c r="AD4" s="10"/>
      <c r="AE4" s="10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</row>
    <row r="5" spans="1:51" x14ac:dyDescent="0.3">
      <c r="A5" s="9"/>
      <c r="B5" s="9"/>
      <c r="H5" t="s">
        <v>3</v>
      </c>
      <c r="I5" s="1">
        <f>I4*I3</f>
        <v>1639035</v>
      </c>
      <c r="V5" s="35"/>
      <c r="AA5" s="35"/>
      <c r="AD5" s="10"/>
      <c r="AE5" s="10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</row>
    <row r="6" spans="1:51" x14ac:dyDescent="0.3">
      <c r="A6" s="9"/>
      <c r="B6" s="9"/>
      <c r="H6" t="s">
        <v>4</v>
      </c>
      <c r="I6" s="1">
        <v>81592</v>
      </c>
      <c r="J6" t="s">
        <v>14</v>
      </c>
      <c r="AD6" s="10"/>
      <c r="AE6" s="10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</row>
    <row r="7" spans="1:51" x14ac:dyDescent="0.3">
      <c r="A7" s="9"/>
      <c r="B7" s="9"/>
      <c r="H7" t="s">
        <v>5</v>
      </c>
      <c r="I7" s="1">
        <v>58744</v>
      </c>
      <c r="J7" t="s">
        <v>14</v>
      </c>
      <c r="AD7" s="10"/>
      <c r="AE7" s="10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</row>
    <row r="8" spans="1:51" x14ac:dyDescent="0.3">
      <c r="A8" s="9"/>
      <c r="B8" s="9"/>
      <c r="H8" t="s">
        <v>6</v>
      </c>
      <c r="I8" s="1">
        <f>I5+I7-I6</f>
        <v>1616187</v>
      </c>
      <c r="J8" t="s">
        <v>110</v>
      </c>
      <c r="AD8" s="10"/>
      <c r="AE8" s="10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</row>
    <row r="9" spans="1:51" x14ac:dyDescent="0.3">
      <c r="A9" s="9"/>
      <c r="B9" s="9"/>
      <c r="I9" s="1"/>
      <c r="Y9" s="23"/>
      <c r="Z9" s="23"/>
      <c r="AD9" s="10"/>
      <c r="AE9" s="10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</row>
    <row r="10" spans="1:51" x14ac:dyDescent="0.3">
      <c r="A10" s="9"/>
      <c r="B10" s="9"/>
      <c r="N10" s="1"/>
      <c r="P10" s="1"/>
      <c r="Q10" s="1"/>
      <c r="AD10" s="10"/>
      <c r="AE10" s="10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</row>
    <row r="11" spans="1:51" x14ac:dyDescent="0.3">
      <c r="A11" s="9"/>
      <c r="B11" s="9"/>
      <c r="D11" s="18" t="s">
        <v>44</v>
      </c>
      <c r="E11" s="18"/>
      <c r="H11" s="18"/>
      <c r="J11" s="18"/>
      <c r="K11" s="18"/>
      <c r="S11" s="18" t="s">
        <v>45</v>
      </c>
      <c r="U11" s="18"/>
      <c r="X11" s="34"/>
      <c r="Y11" s="18" t="s">
        <v>68</v>
      </c>
      <c r="AD11" s="10"/>
      <c r="AE11" s="10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</row>
    <row r="12" spans="1:51" x14ac:dyDescent="0.3">
      <c r="A12" s="12" t="s">
        <v>56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0"/>
      <c r="AE12" s="10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</row>
    <row r="13" spans="1:51" x14ac:dyDescent="0.3">
      <c r="A13" s="9"/>
      <c r="B13" s="9"/>
      <c r="C13" s="2" t="s">
        <v>55</v>
      </c>
      <c r="D13" t="s">
        <v>79</v>
      </c>
      <c r="E13" t="s">
        <v>77</v>
      </c>
      <c r="F13" t="s">
        <v>76</v>
      </c>
      <c r="G13" t="s">
        <v>78</v>
      </c>
      <c r="H13" t="s">
        <v>48</v>
      </c>
      <c r="I13" t="s">
        <v>46</v>
      </c>
      <c r="J13" t="s">
        <v>42</v>
      </c>
      <c r="K13" t="s">
        <v>47</v>
      </c>
      <c r="L13" t="s">
        <v>11</v>
      </c>
      <c r="M13" t="s">
        <v>12</v>
      </c>
      <c r="N13" s="29" t="s">
        <v>13</v>
      </c>
      <c r="O13" t="s">
        <v>14</v>
      </c>
      <c r="P13" t="s">
        <v>84</v>
      </c>
      <c r="S13" t="s">
        <v>52</v>
      </c>
      <c r="T13" t="s">
        <v>51</v>
      </c>
      <c r="U13" t="s">
        <v>15</v>
      </c>
      <c r="V13" t="s">
        <v>16</v>
      </c>
      <c r="W13" t="s">
        <v>17</v>
      </c>
      <c r="X13" t="s">
        <v>18</v>
      </c>
      <c r="Y13" t="s">
        <v>19</v>
      </c>
      <c r="Z13" t="s">
        <v>49</v>
      </c>
      <c r="AA13" t="s">
        <v>50</v>
      </c>
      <c r="AB13" t="s">
        <v>66</v>
      </c>
      <c r="AC13" t="s">
        <v>67</v>
      </c>
      <c r="AD13" s="10"/>
      <c r="AE13" s="10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</row>
    <row r="14" spans="1:51" x14ac:dyDescent="0.3">
      <c r="A14" s="9"/>
      <c r="B14" s="9"/>
      <c r="D14" s="39" t="s">
        <v>86</v>
      </c>
      <c r="E14" s="39" t="s">
        <v>87</v>
      </c>
      <c r="F14" s="39" t="s">
        <v>88</v>
      </c>
      <c r="G14" s="39" t="s">
        <v>89</v>
      </c>
      <c r="H14" s="39" t="s">
        <v>90</v>
      </c>
      <c r="I14" s="39" t="s">
        <v>91</v>
      </c>
      <c r="J14" s="39" t="s">
        <v>92</v>
      </c>
      <c r="K14" s="39" t="s">
        <v>93</v>
      </c>
      <c r="L14" s="39" t="s">
        <v>94</v>
      </c>
      <c r="M14" s="39" t="s">
        <v>95</v>
      </c>
      <c r="N14" s="40" t="s">
        <v>96</v>
      </c>
      <c r="O14" s="39" t="s">
        <v>97</v>
      </c>
      <c r="P14" t="s">
        <v>98</v>
      </c>
      <c r="S14" s="13" t="s">
        <v>99</v>
      </c>
      <c r="T14" s="13" t="s">
        <v>100</v>
      </c>
      <c r="U14" s="13" t="s">
        <v>101</v>
      </c>
      <c r="V14" s="13" t="s">
        <v>89</v>
      </c>
      <c r="W14" s="13" t="s">
        <v>93</v>
      </c>
      <c r="X14" s="13" t="s">
        <v>97</v>
      </c>
      <c r="Y14" s="13" t="s">
        <v>69</v>
      </c>
      <c r="Z14" s="13" t="s">
        <v>70</v>
      </c>
      <c r="AA14" s="13" t="s">
        <v>71</v>
      </c>
      <c r="AB14" s="13" t="s">
        <v>72</v>
      </c>
      <c r="AC14" s="13" t="s">
        <v>73</v>
      </c>
      <c r="AD14" s="10"/>
      <c r="AE14" s="10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</row>
    <row r="15" spans="1:51" x14ac:dyDescent="0.3">
      <c r="A15" s="7" t="s">
        <v>7</v>
      </c>
      <c r="B15" s="51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40"/>
      <c r="O15" s="39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36"/>
      <c r="AE15" s="10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</row>
    <row r="16" spans="1:51" x14ac:dyDescent="0.3">
      <c r="A16" s="9"/>
      <c r="B16" s="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40"/>
      <c r="O16" s="39"/>
      <c r="S16" s="23"/>
      <c r="T16" s="23"/>
      <c r="U16" s="23"/>
      <c r="V16" s="23"/>
      <c r="W16" s="23"/>
      <c r="X16" s="23"/>
      <c r="Y16" s="1"/>
      <c r="Z16" s="13"/>
      <c r="AA16" s="13"/>
      <c r="AB16" s="13"/>
      <c r="AC16" s="13"/>
      <c r="AD16" s="36"/>
      <c r="AE16" s="10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</row>
    <row r="17" spans="1:56" x14ac:dyDescent="0.3">
      <c r="A17" s="9"/>
      <c r="B17" s="9"/>
      <c r="C17" t="s">
        <v>74</v>
      </c>
      <c r="D17" s="30">
        <v>28645</v>
      </c>
      <c r="E17" s="30">
        <v>31999</v>
      </c>
      <c r="F17" s="30">
        <v>34146</v>
      </c>
      <c r="G17" s="30">
        <v>40111</v>
      </c>
      <c r="H17" s="30">
        <v>36455</v>
      </c>
      <c r="I17" s="30">
        <v>39071</v>
      </c>
      <c r="J17" s="30">
        <v>40589</v>
      </c>
      <c r="K17" s="30">
        <v>48385</v>
      </c>
      <c r="L17" s="30">
        <v>42314</v>
      </c>
      <c r="M17" s="30">
        <v>47516</v>
      </c>
      <c r="N17" s="30">
        <v>51242</v>
      </c>
      <c r="O17" s="30">
        <v>59893</v>
      </c>
      <c r="P17" s="49">
        <v>55000</v>
      </c>
      <c r="Q17" s="49"/>
      <c r="R17" s="52">
        <v>70697</v>
      </c>
      <c r="S17" s="50">
        <v>85965</v>
      </c>
      <c r="T17" s="30">
        <v>117929</v>
      </c>
      <c r="U17" s="30">
        <v>116609</v>
      </c>
      <c r="V17" s="30">
        <f>SUM(D17:G17)</f>
        <v>134901</v>
      </c>
      <c r="W17" s="30">
        <f>SUM(H17:K17)</f>
        <v>164500</v>
      </c>
      <c r="X17" s="30">
        <f>SUM(L17:O17)</f>
        <v>200965</v>
      </c>
      <c r="Y17" s="38">
        <f>Inputs!E10</f>
        <v>241158</v>
      </c>
      <c r="Z17" s="38">
        <f>Inputs!F10</f>
        <v>277331.69999999995</v>
      </c>
      <c r="AA17" s="38">
        <f>Inputs!G10</f>
        <v>305064.87</v>
      </c>
      <c r="AB17" s="38">
        <f>Inputs!H10</f>
        <v>329470.05960000004</v>
      </c>
      <c r="AC17" s="38">
        <f>Inputs!I10</f>
        <v>349238.26317600004</v>
      </c>
      <c r="AD17" s="36"/>
      <c r="AE17" s="10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</row>
    <row r="18" spans="1:56" x14ac:dyDescent="0.3">
      <c r="A18" s="9"/>
      <c r="B18" s="9"/>
      <c r="C18" t="s">
        <v>9</v>
      </c>
      <c r="D18">
        <v>6108</v>
      </c>
      <c r="E18" s="33">
        <v>5945</v>
      </c>
      <c r="F18" s="33">
        <v>6210</v>
      </c>
      <c r="G18" s="33">
        <v>7696</v>
      </c>
      <c r="H18" s="33">
        <v>6640</v>
      </c>
      <c r="I18" s="30">
        <v>7308</v>
      </c>
      <c r="J18" s="1">
        <v>7375</v>
      </c>
      <c r="K18" s="30">
        <v>8839</v>
      </c>
      <c r="L18" s="1">
        <v>7572</v>
      </c>
      <c r="M18" s="1">
        <v>8491</v>
      </c>
      <c r="N18" s="30">
        <v>9206</v>
      </c>
      <c r="O18" s="30">
        <v>10906</v>
      </c>
      <c r="P18" s="30" t="s">
        <v>116</v>
      </c>
      <c r="Q18" s="30"/>
      <c r="S18" s="1">
        <v>16692</v>
      </c>
      <c r="T18">
        <v>22649</v>
      </c>
      <c r="U18" s="1">
        <v>25249</v>
      </c>
      <c r="V18" s="1">
        <v>25959</v>
      </c>
      <c r="W18" s="30">
        <v>30161</v>
      </c>
      <c r="X18" s="30">
        <v>36175</v>
      </c>
      <c r="Y18" s="38">
        <f>Y17*Inputs!$E$15</f>
        <v>60289.5</v>
      </c>
      <c r="Z18" s="38">
        <f>Z17*Inputs!$E$15</f>
        <v>69332.924999999988</v>
      </c>
      <c r="AA18" s="38">
        <f>AA17*Inputs!$E$15</f>
        <v>76266.217499999999</v>
      </c>
      <c r="AB18" s="38">
        <f>AB17*Inputs!$E$15</f>
        <v>82367.514900000009</v>
      </c>
      <c r="AC18" s="38">
        <f>AC17*Inputs!$E$15</f>
        <v>87309.565794000009</v>
      </c>
      <c r="AD18" s="36"/>
      <c r="AE18" s="10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</row>
    <row r="19" spans="1:56" x14ac:dyDescent="0.3">
      <c r="A19" s="9"/>
      <c r="B19" s="9"/>
      <c r="C19" t="s">
        <v>10</v>
      </c>
      <c r="D19" s="30">
        <f t="shared" ref="D19:N19" si="0">D17-D18</f>
        <v>22537</v>
      </c>
      <c r="E19" s="30">
        <f t="shared" si="0"/>
        <v>26054</v>
      </c>
      <c r="F19" s="30">
        <f t="shared" si="0"/>
        <v>27936</v>
      </c>
      <c r="G19" s="30">
        <f t="shared" si="0"/>
        <v>32415</v>
      </c>
      <c r="H19" s="30">
        <f t="shared" si="0"/>
        <v>29815</v>
      </c>
      <c r="I19" s="30">
        <f t="shared" si="0"/>
        <v>31763</v>
      </c>
      <c r="J19" s="30">
        <f t="shared" si="0"/>
        <v>33214</v>
      </c>
      <c r="K19" s="30">
        <f t="shared" si="0"/>
        <v>39546</v>
      </c>
      <c r="L19" s="30">
        <f t="shared" si="0"/>
        <v>34742</v>
      </c>
      <c r="M19" s="30">
        <f t="shared" si="0"/>
        <v>39025</v>
      </c>
      <c r="N19" s="30">
        <f t="shared" si="0"/>
        <v>42036</v>
      </c>
      <c r="O19" s="30">
        <f>O17-O18</f>
        <v>48987</v>
      </c>
      <c r="P19" s="30"/>
      <c r="Q19" s="30"/>
      <c r="S19" s="30">
        <f t="shared" ref="S19:V19" si="1">S17-S18</f>
        <v>69273</v>
      </c>
      <c r="T19" s="30">
        <f t="shared" si="1"/>
        <v>95280</v>
      </c>
      <c r="U19" s="30">
        <f t="shared" si="1"/>
        <v>91360</v>
      </c>
      <c r="V19" s="30">
        <f t="shared" si="1"/>
        <v>108942</v>
      </c>
      <c r="W19" s="30">
        <f>W17-W18</f>
        <v>134339</v>
      </c>
      <c r="X19" s="30">
        <f>X17-X18</f>
        <v>164790</v>
      </c>
      <c r="Y19" s="30">
        <f t="shared" ref="Y19:AC19" si="2">Y17-Y18</f>
        <v>180868.5</v>
      </c>
      <c r="Z19" s="30">
        <f t="shared" si="2"/>
        <v>207998.77499999997</v>
      </c>
      <c r="AA19" s="30">
        <f t="shared" si="2"/>
        <v>228798.6525</v>
      </c>
      <c r="AB19" s="30">
        <f t="shared" si="2"/>
        <v>247102.54470000003</v>
      </c>
      <c r="AC19" s="30">
        <f t="shared" si="2"/>
        <v>261928.69738200004</v>
      </c>
      <c r="AD19" s="36"/>
      <c r="AE19" s="10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</row>
    <row r="20" spans="1:56" x14ac:dyDescent="0.3">
      <c r="A20" s="9"/>
      <c r="B20" s="9"/>
      <c r="C20" t="s">
        <v>62</v>
      </c>
      <c r="D20">
        <v>9381</v>
      </c>
      <c r="E20" s="30">
        <v>9344</v>
      </c>
      <c r="F20" s="30">
        <v>9241</v>
      </c>
      <c r="G20" s="30">
        <v>10517</v>
      </c>
      <c r="H20" s="30">
        <v>9978</v>
      </c>
      <c r="I20" s="30">
        <v>10537</v>
      </c>
      <c r="J20" s="1">
        <v>11177</v>
      </c>
      <c r="K20" s="30">
        <v>12180</v>
      </c>
      <c r="L20" s="1">
        <v>11458</v>
      </c>
      <c r="M20" s="1">
        <v>12942</v>
      </c>
      <c r="N20" s="30">
        <v>14043</v>
      </c>
      <c r="O20" s="30">
        <v>17136</v>
      </c>
      <c r="P20" s="30"/>
      <c r="Q20" s="30"/>
      <c r="S20" s="1">
        <v>18447</v>
      </c>
      <c r="T20" s="1">
        <v>24655</v>
      </c>
      <c r="U20" s="1">
        <v>35338</v>
      </c>
      <c r="V20" s="1">
        <v>38483</v>
      </c>
      <c r="W20" s="30">
        <v>43873</v>
      </c>
      <c r="X20" s="30">
        <v>57372</v>
      </c>
      <c r="Y20" s="38">
        <f>Y17*Inputs!$E$16</f>
        <v>72347.399999999994</v>
      </c>
      <c r="Z20" s="38">
        <f>Z17*Inputs!$E$16</f>
        <v>83199.50999999998</v>
      </c>
      <c r="AA20" s="38">
        <f>AA17*Inputs!$E$16</f>
        <v>91519.460999999996</v>
      </c>
      <c r="AB20" s="38">
        <f>AB17*Inputs!$E$16</f>
        <v>98841.017880000014</v>
      </c>
      <c r="AC20" s="38">
        <f>AC17*Inputs!$E$16</f>
        <v>104771.47895280001</v>
      </c>
      <c r="AD20" s="36"/>
      <c r="AE20" s="10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</row>
    <row r="21" spans="1:56" x14ac:dyDescent="0.3">
      <c r="A21" s="9"/>
      <c r="B21" s="9"/>
      <c r="C21" t="s">
        <v>130</v>
      </c>
      <c r="D21">
        <v>5930</v>
      </c>
      <c r="E21" s="30">
        <v>7318</v>
      </c>
      <c r="F21" s="30">
        <v>4947</v>
      </c>
      <c r="G21" s="30">
        <v>5515</v>
      </c>
      <c r="H21" s="30">
        <v>6019</v>
      </c>
      <c r="I21" s="30">
        <v>6379</v>
      </c>
      <c r="J21" s="1">
        <v>4687</v>
      </c>
      <c r="K21" s="30">
        <v>4003</v>
      </c>
      <c r="L21" s="1">
        <v>5729</v>
      </c>
      <c r="M21" s="1">
        <v>5642</v>
      </c>
      <c r="N21" s="30">
        <v>7458</v>
      </c>
      <c r="O21" s="30">
        <v>7107</v>
      </c>
      <c r="P21" s="30"/>
      <c r="Q21" s="30"/>
      <c r="S21" s="1">
        <v>20203</v>
      </c>
      <c r="T21" s="1">
        <v>22112</v>
      </c>
      <c r="U21" s="1">
        <v>27078</v>
      </c>
      <c r="V21" s="1">
        <v>23709</v>
      </c>
      <c r="W21" s="30">
        <v>21087</v>
      </c>
      <c r="X21" s="30">
        <v>24143</v>
      </c>
      <c r="Y21" s="38">
        <f>Y17*Inputs!$E$17</f>
        <v>28938.959999999999</v>
      </c>
      <c r="Z21" s="38">
        <f>Z17*Inputs!$E$17</f>
        <v>33279.803999999996</v>
      </c>
      <c r="AA21" s="38">
        <f>AA17*Inputs!$E$17</f>
        <v>36607.784399999997</v>
      </c>
      <c r="AB21" s="38">
        <f>AB17*Inputs!$E$17</f>
        <v>39536.407152</v>
      </c>
      <c r="AC21" s="38">
        <f>AC17*Inputs!$E$17</f>
        <v>41908.591581120003</v>
      </c>
      <c r="AD21" s="36"/>
      <c r="AE21" s="10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</row>
    <row r="22" spans="1:56" x14ac:dyDescent="0.3">
      <c r="A22" s="9"/>
      <c r="B22" s="9"/>
      <c r="C22" t="s">
        <v>20</v>
      </c>
      <c r="D22" s="30">
        <f t="shared" ref="D22:N22" si="3">SUM(D20:D21)</f>
        <v>15311</v>
      </c>
      <c r="E22" s="30">
        <f t="shared" si="3"/>
        <v>16662</v>
      </c>
      <c r="F22" s="30">
        <f t="shared" si="3"/>
        <v>14188</v>
      </c>
      <c r="G22" s="30">
        <f t="shared" si="3"/>
        <v>16032</v>
      </c>
      <c r="H22" s="30">
        <f t="shared" si="3"/>
        <v>15997</v>
      </c>
      <c r="I22" s="30">
        <f t="shared" si="3"/>
        <v>16916</v>
      </c>
      <c r="J22" s="30">
        <f t="shared" si="3"/>
        <v>15864</v>
      </c>
      <c r="K22" s="30">
        <f t="shared" si="3"/>
        <v>16183</v>
      </c>
      <c r="L22" s="30">
        <f t="shared" si="3"/>
        <v>17187</v>
      </c>
      <c r="M22" s="30">
        <f t="shared" si="3"/>
        <v>18584</v>
      </c>
      <c r="N22" s="30">
        <f t="shared" si="3"/>
        <v>21501</v>
      </c>
      <c r="O22" s="30">
        <f>SUM(O20:O21)</f>
        <v>24243</v>
      </c>
      <c r="P22" s="30"/>
      <c r="Q22" s="30"/>
      <c r="S22" s="30">
        <f t="shared" ref="S22:V22" si="4">SUM(S20:S21)</f>
        <v>38650</v>
      </c>
      <c r="T22" s="30">
        <f t="shared" si="4"/>
        <v>46767</v>
      </c>
      <c r="U22" s="30">
        <f t="shared" si="4"/>
        <v>62416</v>
      </c>
      <c r="V22" s="30">
        <f t="shared" si="4"/>
        <v>62192</v>
      </c>
      <c r="W22" s="30">
        <f>SUM(W20:W21)</f>
        <v>64960</v>
      </c>
      <c r="X22" s="30">
        <f>SUM(X20:X21)</f>
        <v>81515</v>
      </c>
      <c r="Y22" s="30">
        <f t="shared" ref="Y22:AC22" si="5">SUM(Y20:Y21)</f>
        <v>101286.35999999999</v>
      </c>
      <c r="Z22" s="30">
        <f t="shared" si="5"/>
        <v>116479.31399999998</v>
      </c>
      <c r="AA22" s="30">
        <f t="shared" si="5"/>
        <v>128127.24539999999</v>
      </c>
      <c r="AB22" s="30">
        <f t="shared" si="5"/>
        <v>138377.425032</v>
      </c>
      <c r="AC22" s="30">
        <f t="shared" si="5"/>
        <v>146680.07053392002</v>
      </c>
      <c r="AD22" s="36"/>
      <c r="AE22" s="10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</row>
    <row r="23" spans="1:56" x14ac:dyDescent="0.3">
      <c r="A23" s="9"/>
      <c r="B23" s="9"/>
      <c r="C23" t="s">
        <v>122</v>
      </c>
      <c r="D23" s="30">
        <f t="shared" ref="D23:N23" si="6">D19-D22</f>
        <v>7226</v>
      </c>
      <c r="E23" s="30">
        <f t="shared" si="6"/>
        <v>9392</v>
      </c>
      <c r="F23" s="30">
        <f t="shared" si="6"/>
        <v>13748</v>
      </c>
      <c r="G23" s="30">
        <f t="shared" si="6"/>
        <v>16383</v>
      </c>
      <c r="H23" s="30">
        <f t="shared" si="6"/>
        <v>13818</v>
      </c>
      <c r="I23" s="30">
        <f t="shared" si="6"/>
        <v>14847</v>
      </c>
      <c r="J23" s="30">
        <f t="shared" si="6"/>
        <v>17350</v>
      </c>
      <c r="K23" s="30">
        <f t="shared" si="6"/>
        <v>23363</v>
      </c>
      <c r="L23" s="30">
        <f t="shared" si="6"/>
        <v>17555</v>
      </c>
      <c r="M23" s="30">
        <f t="shared" si="6"/>
        <v>20441</v>
      </c>
      <c r="N23" s="30">
        <f t="shared" si="6"/>
        <v>20535</v>
      </c>
      <c r="O23" s="30">
        <f>O19-O22</f>
        <v>24744</v>
      </c>
      <c r="P23" s="30"/>
      <c r="Q23" s="30"/>
      <c r="S23" s="31">
        <f t="shared" ref="S23:V23" si="7">S19-S22</f>
        <v>30623</v>
      </c>
      <c r="T23" s="31">
        <f t="shared" si="7"/>
        <v>48513</v>
      </c>
      <c r="U23" s="31">
        <f t="shared" si="7"/>
        <v>28944</v>
      </c>
      <c r="V23" s="31">
        <f t="shared" si="7"/>
        <v>46750</v>
      </c>
      <c r="W23" s="31">
        <f>W19-W22</f>
        <v>69379</v>
      </c>
      <c r="X23" s="31">
        <f>X19-X22</f>
        <v>83275</v>
      </c>
      <c r="Y23" s="30">
        <f t="shared" ref="Y23:AC23" si="8">Y19-Y22</f>
        <v>79582.140000000014</v>
      </c>
      <c r="Z23" s="30">
        <f t="shared" si="8"/>
        <v>91519.460999999981</v>
      </c>
      <c r="AA23" s="30">
        <f t="shared" si="8"/>
        <v>100671.40710000001</v>
      </c>
      <c r="AB23" s="30">
        <f t="shared" si="8"/>
        <v>108725.11966800003</v>
      </c>
      <c r="AC23" s="30">
        <f t="shared" si="8"/>
        <v>115248.62684808002</v>
      </c>
      <c r="AD23" s="36"/>
      <c r="AE23" s="10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</row>
    <row r="24" spans="1:56" x14ac:dyDescent="0.3">
      <c r="A24" s="9"/>
      <c r="B24" s="9"/>
      <c r="C24" t="s">
        <v>21</v>
      </c>
      <c r="D24" s="30">
        <v>80</v>
      </c>
      <c r="E24" s="30">
        <v>113</v>
      </c>
      <c r="F24" s="30">
        <v>272</v>
      </c>
      <c r="G24" s="30">
        <v>424</v>
      </c>
      <c r="H24" s="30">
        <v>365</v>
      </c>
      <c r="I24" s="30">
        <v>259</v>
      </c>
      <c r="J24" s="1">
        <v>472</v>
      </c>
      <c r="K24" s="30">
        <v>188</v>
      </c>
      <c r="L24" s="1">
        <v>827</v>
      </c>
      <c r="M24" s="1">
        <v>93</v>
      </c>
      <c r="N24" s="30">
        <v>1128</v>
      </c>
      <c r="O24" s="30">
        <v>608</v>
      </c>
      <c r="P24" s="30"/>
      <c r="Q24" s="30"/>
      <c r="S24" s="1">
        <v>-502</v>
      </c>
      <c r="T24" s="1">
        <v>-523</v>
      </c>
      <c r="U24" s="1">
        <v>-276</v>
      </c>
      <c r="V24" s="1">
        <v>1089</v>
      </c>
      <c r="W24" s="30">
        <v>1284</v>
      </c>
      <c r="X24" s="30">
        <v>2656</v>
      </c>
      <c r="Y24" s="38">
        <v>700</v>
      </c>
      <c r="Z24" s="38">
        <v>700</v>
      </c>
      <c r="AA24" s="38">
        <v>700</v>
      </c>
      <c r="AB24" s="38">
        <v>700</v>
      </c>
      <c r="AC24" s="38">
        <v>700</v>
      </c>
      <c r="AD24" s="36"/>
      <c r="AE24" s="10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</row>
    <row r="25" spans="1:56" x14ac:dyDescent="0.3">
      <c r="A25" s="9"/>
      <c r="B25" s="9"/>
      <c r="C25" t="s">
        <v>22</v>
      </c>
      <c r="D25" s="30">
        <f t="shared" ref="D25:N25" si="9">SUM(D23:D24)</f>
        <v>7306</v>
      </c>
      <c r="E25" s="30">
        <f t="shared" si="9"/>
        <v>9505</v>
      </c>
      <c r="F25" s="30">
        <f t="shared" si="9"/>
        <v>14020</v>
      </c>
      <c r="G25" s="30">
        <f t="shared" si="9"/>
        <v>16807</v>
      </c>
      <c r="H25" s="30">
        <f t="shared" si="9"/>
        <v>14183</v>
      </c>
      <c r="I25" s="30">
        <f t="shared" si="9"/>
        <v>15106</v>
      </c>
      <c r="J25" s="30">
        <f t="shared" si="9"/>
        <v>17822</v>
      </c>
      <c r="K25" s="30">
        <f t="shared" si="9"/>
        <v>23551</v>
      </c>
      <c r="L25" s="30">
        <f t="shared" si="9"/>
        <v>18382</v>
      </c>
      <c r="M25" s="30">
        <f t="shared" si="9"/>
        <v>20534</v>
      </c>
      <c r="N25" s="30">
        <f t="shared" si="9"/>
        <v>21663</v>
      </c>
      <c r="O25" s="30">
        <f>SUM(O23:O24)</f>
        <v>25352</v>
      </c>
      <c r="P25" s="30"/>
      <c r="Q25" s="30"/>
      <c r="S25" s="30">
        <f t="shared" ref="S25:V25" si="10">SUM(S23:S24)</f>
        <v>30121</v>
      </c>
      <c r="T25" s="30">
        <f t="shared" si="10"/>
        <v>47990</v>
      </c>
      <c r="U25" s="30">
        <f t="shared" si="10"/>
        <v>28668</v>
      </c>
      <c r="V25" s="30">
        <f t="shared" si="10"/>
        <v>47839</v>
      </c>
      <c r="W25" s="30">
        <f>SUM(W23:W24)</f>
        <v>70663</v>
      </c>
      <c r="X25" s="30">
        <f>SUM(X23:X24)</f>
        <v>85931</v>
      </c>
      <c r="Y25" s="30">
        <f t="shared" ref="Y25:AC25" si="11">SUM(Y23:Y24)</f>
        <v>80282.140000000014</v>
      </c>
      <c r="Z25" s="30">
        <f t="shared" si="11"/>
        <v>92219.460999999981</v>
      </c>
      <c r="AA25" s="30">
        <f t="shared" si="11"/>
        <v>101371.40710000001</v>
      </c>
      <c r="AB25" s="30">
        <f t="shared" si="11"/>
        <v>109425.11966800003</v>
      </c>
      <c r="AC25" s="30">
        <f t="shared" si="11"/>
        <v>115948.62684808002</v>
      </c>
      <c r="AD25" s="36"/>
      <c r="AE25" s="10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</row>
    <row r="26" spans="1:56" x14ac:dyDescent="0.3">
      <c r="A26" s="9"/>
      <c r="B26" s="9"/>
      <c r="C26" t="s">
        <v>23</v>
      </c>
      <c r="D26" s="30">
        <v>1598</v>
      </c>
      <c r="E26" s="30">
        <v>1717</v>
      </c>
      <c r="F26" s="30">
        <v>2437</v>
      </c>
      <c r="G26" s="30">
        <v>2791</v>
      </c>
      <c r="H26" s="30">
        <v>1814</v>
      </c>
      <c r="I26" s="30">
        <v>1641</v>
      </c>
      <c r="J26" s="1">
        <v>2134</v>
      </c>
      <c r="K26" s="30">
        <v>2715</v>
      </c>
      <c r="L26" s="1">
        <v>1738</v>
      </c>
      <c r="M26" s="1">
        <v>2197</v>
      </c>
      <c r="N26" s="30">
        <v>18954</v>
      </c>
      <c r="O26" s="30">
        <v>2586</v>
      </c>
      <c r="P26" s="30"/>
      <c r="Q26" s="30"/>
      <c r="S26" s="1">
        <v>4027</v>
      </c>
      <c r="T26" s="1">
        <v>7906</v>
      </c>
      <c r="U26" s="1">
        <v>6020</v>
      </c>
      <c r="V26" s="1">
        <v>6564</v>
      </c>
      <c r="W26" s="30">
        <v>5736</v>
      </c>
      <c r="X26" s="30">
        <v>20162</v>
      </c>
      <c r="Y26" s="38">
        <f>Y25*0.15</f>
        <v>12042.321000000002</v>
      </c>
      <c r="Z26" s="38">
        <f t="shared" ref="Z26:AC26" si="12">Z25*0.15</f>
        <v>13832.919149999996</v>
      </c>
      <c r="AA26" s="38">
        <f t="shared" si="12"/>
        <v>15205.711065000001</v>
      </c>
      <c r="AB26" s="38">
        <f t="shared" si="12"/>
        <v>16413.767950200003</v>
      </c>
      <c r="AC26" s="38">
        <f t="shared" si="12"/>
        <v>17392.294027212003</v>
      </c>
      <c r="AD26" s="36"/>
      <c r="AE26" s="10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</row>
    <row r="27" spans="1:56" x14ac:dyDescent="0.3">
      <c r="A27" s="9"/>
      <c r="B27" s="9"/>
      <c r="C27" t="s">
        <v>24</v>
      </c>
      <c r="D27" s="31">
        <f t="shared" ref="D27:N27" si="13">D25-D26</f>
        <v>5708</v>
      </c>
      <c r="E27" s="31">
        <f t="shared" si="13"/>
        <v>7788</v>
      </c>
      <c r="F27" s="31">
        <f t="shared" si="13"/>
        <v>11583</v>
      </c>
      <c r="G27" s="31">
        <f t="shared" si="13"/>
        <v>14016</v>
      </c>
      <c r="H27" s="31">
        <f t="shared" si="13"/>
        <v>12369</v>
      </c>
      <c r="I27" s="31">
        <f t="shared" si="13"/>
        <v>13465</v>
      </c>
      <c r="J27" s="31">
        <f t="shared" si="13"/>
        <v>15688</v>
      </c>
      <c r="K27" s="31">
        <f t="shared" si="13"/>
        <v>20836</v>
      </c>
      <c r="L27" s="31">
        <f t="shared" si="13"/>
        <v>16644</v>
      </c>
      <c r="M27" s="31">
        <f t="shared" si="13"/>
        <v>18337</v>
      </c>
      <c r="N27" s="31">
        <f t="shared" si="13"/>
        <v>2709</v>
      </c>
      <c r="O27" s="31">
        <f>O25-O26</f>
        <v>22766</v>
      </c>
      <c r="P27" s="31"/>
      <c r="Q27" s="31"/>
      <c r="S27" s="31">
        <f t="shared" ref="S27:V27" si="14">S25-S26</f>
        <v>26094</v>
      </c>
      <c r="T27" s="31">
        <f t="shared" si="14"/>
        <v>40084</v>
      </c>
      <c r="U27" s="31">
        <f t="shared" si="14"/>
        <v>22648</v>
      </c>
      <c r="V27" s="31">
        <f t="shared" si="14"/>
        <v>41275</v>
      </c>
      <c r="W27" s="31">
        <f>W25-W26</f>
        <v>64927</v>
      </c>
      <c r="X27" s="31">
        <f>X25-X26</f>
        <v>65769</v>
      </c>
      <c r="Y27" s="31">
        <f t="shared" ref="Y27:AC27" si="15">Y25-Y26</f>
        <v>68239.819000000018</v>
      </c>
      <c r="Z27" s="31">
        <f t="shared" si="15"/>
        <v>78386.54184999998</v>
      </c>
      <c r="AA27" s="31">
        <f t="shared" si="15"/>
        <v>86165.696035000015</v>
      </c>
      <c r="AB27" s="31">
        <f t="shared" si="15"/>
        <v>93011.351717800018</v>
      </c>
      <c r="AC27" s="31">
        <f t="shared" si="15"/>
        <v>98556.332820868018</v>
      </c>
      <c r="AD27" s="36"/>
      <c r="AE27" s="10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</row>
    <row r="28" spans="1:56" x14ac:dyDescent="0.3">
      <c r="A28" s="9"/>
      <c r="B28" s="9"/>
      <c r="C28" t="s">
        <v>25</v>
      </c>
      <c r="D28" s="32">
        <f t="shared" ref="D28:N28" si="16">D27/D29</f>
        <v>2.1996146435452792</v>
      </c>
      <c r="E28" s="32">
        <f t="shared" si="16"/>
        <v>2.9804822043628012</v>
      </c>
      <c r="F28" s="32">
        <f t="shared" si="16"/>
        <v>4.3858386974630825</v>
      </c>
      <c r="G28" s="32">
        <f t="shared" si="16"/>
        <v>5.3292775665399237</v>
      </c>
      <c r="H28" s="32">
        <f t="shared" si="16"/>
        <v>4.7102056359482098</v>
      </c>
      <c r="I28" s="32">
        <f t="shared" si="16"/>
        <v>5.1609812188577999</v>
      </c>
      <c r="J28" s="32">
        <f t="shared" si="16"/>
        <v>6.0338461538461541</v>
      </c>
      <c r="K28" s="32">
        <f t="shared" si="16"/>
        <v>8.0169295883031939</v>
      </c>
      <c r="L28" s="32">
        <f t="shared" si="16"/>
        <v>6.4312210200927353</v>
      </c>
      <c r="M28" s="32">
        <f t="shared" si="16"/>
        <v>7.1405763239875393</v>
      </c>
      <c r="N28" s="32">
        <f t="shared" si="16"/>
        <v>1.05</v>
      </c>
      <c r="O28" s="32">
        <f>O27/O29</f>
        <v>8.8756335282651069</v>
      </c>
      <c r="P28" s="32"/>
      <c r="Q28" s="32"/>
      <c r="S28" s="32">
        <f t="shared" ref="S28:V28" si="17">S27/S29</f>
        <v>9.0321910695742478</v>
      </c>
      <c r="T28" s="32">
        <f t="shared" si="17"/>
        <v>14.020286813571179</v>
      </c>
      <c r="U28" s="32">
        <f t="shared" si="17"/>
        <v>8.388148148148149</v>
      </c>
      <c r="V28" s="32">
        <f t="shared" si="17"/>
        <v>15.693916349809886</v>
      </c>
      <c r="W28" s="32">
        <f>W27/W29</f>
        <v>24.838179035960213</v>
      </c>
      <c r="X28" s="32">
        <f>X27/X29</f>
        <v>25.551282051282051</v>
      </c>
      <c r="Y28" s="32">
        <f t="shared" ref="Y28:AC28" si="18">Y27/Y29</f>
        <v>26.604217933723202</v>
      </c>
      <c r="Z28" s="32">
        <f t="shared" si="18"/>
        <v>30.560055302144242</v>
      </c>
      <c r="AA28" s="32">
        <f t="shared" si="18"/>
        <v>33.592863951267063</v>
      </c>
      <c r="AB28" s="32">
        <f t="shared" si="18"/>
        <v>36.261735562495133</v>
      </c>
      <c r="AC28" s="32">
        <f t="shared" si="18"/>
        <v>38.423521567589873</v>
      </c>
      <c r="AD28" s="36"/>
      <c r="AE28" s="10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</row>
    <row r="29" spans="1:56" x14ac:dyDescent="0.3">
      <c r="A29" s="9"/>
      <c r="B29" s="9"/>
      <c r="C29" t="s">
        <v>113</v>
      </c>
      <c r="D29">
        <v>2595</v>
      </c>
      <c r="E29" s="30">
        <v>2613</v>
      </c>
      <c r="F29" s="30">
        <v>2641</v>
      </c>
      <c r="G29" s="30">
        <v>2630</v>
      </c>
      <c r="H29" s="30">
        <v>2626</v>
      </c>
      <c r="I29" s="30">
        <v>2609</v>
      </c>
      <c r="J29" s="1">
        <v>2600</v>
      </c>
      <c r="K29" s="30">
        <v>2599</v>
      </c>
      <c r="L29" s="1">
        <v>2588</v>
      </c>
      <c r="M29" s="1">
        <v>2568</v>
      </c>
      <c r="N29" s="30">
        <v>2580</v>
      </c>
      <c r="O29" s="30">
        <v>2565</v>
      </c>
      <c r="P29" s="30"/>
      <c r="Q29" s="30"/>
      <c r="S29" s="1">
        <v>2889</v>
      </c>
      <c r="T29" s="1">
        <v>2859</v>
      </c>
      <c r="U29" s="1">
        <v>2700</v>
      </c>
      <c r="V29" s="1">
        <v>2630</v>
      </c>
      <c r="W29" s="30">
        <v>2614</v>
      </c>
      <c r="X29" s="1">
        <v>2574</v>
      </c>
      <c r="Y29" s="38">
        <f>Inputs!E21</f>
        <v>2565</v>
      </c>
      <c r="Z29" s="38">
        <f>Y29</f>
        <v>2565</v>
      </c>
      <c r="AA29" s="38">
        <f t="shared" ref="AA29:AC29" si="19">Z29</f>
        <v>2565</v>
      </c>
      <c r="AB29" s="38">
        <f t="shared" si="19"/>
        <v>2565</v>
      </c>
      <c r="AC29" s="38">
        <f t="shared" si="19"/>
        <v>2565</v>
      </c>
      <c r="AD29" s="36"/>
      <c r="AE29" s="10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 x14ac:dyDescent="0.3">
      <c r="A30" s="9"/>
      <c r="B30" s="9"/>
      <c r="G30" s="1"/>
      <c r="H30" s="6"/>
      <c r="I30" s="6"/>
      <c r="J30" s="6"/>
      <c r="K30" s="6"/>
      <c r="L30" s="6"/>
      <c r="M30" s="6"/>
      <c r="N30" s="31"/>
      <c r="P30" s="37"/>
      <c r="Q30" s="37"/>
      <c r="S30" s="1"/>
      <c r="T30" s="1"/>
      <c r="U30" s="1"/>
      <c r="V30" s="1"/>
      <c r="W30" s="1"/>
      <c r="X30" s="4"/>
      <c r="AD30" s="10"/>
      <c r="AE30" s="10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 x14ac:dyDescent="0.3">
      <c r="A31" s="9" t="s">
        <v>65</v>
      </c>
      <c r="B31" s="9"/>
      <c r="F31" s="26" t="s">
        <v>80</v>
      </c>
      <c r="G31" s="22"/>
      <c r="H31" s="27">
        <f t="shared" ref="H31:O31" si="20">H17/D17-1</f>
        <v>0.27264793157619138</v>
      </c>
      <c r="I31" s="27">
        <f t="shared" si="20"/>
        <v>0.2210069064658271</v>
      </c>
      <c r="J31" s="27">
        <f t="shared" si="20"/>
        <v>0.18868974404029748</v>
      </c>
      <c r="K31" s="27">
        <f t="shared" si="20"/>
        <v>0.20627757971628724</v>
      </c>
      <c r="L31" s="27">
        <f t="shared" si="20"/>
        <v>0.16071869428062002</v>
      </c>
      <c r="M31" s="27">
        <f t="shared" si="20"/>
        <v>0.21614496685521223</v>
      </c>
      <c r="N31" s="27">
        <f t="shared" si="20"/>
        <v>0.26246027248761972</v>
      </c>
      <c r="O31" s="27">
        <f t="shared" si="20"/>
        <v>0.23784230649994842</v>
      </c>
      <c r="P31" s="27"/>
      <c r="Q31" s="27"/>
      <c r="R31" s="24"/>
      <c r="S31" s="24">
        <f t="shared" ref="S31:X31" si="21">S17/R17-1</f>
        <v>0.21596390228722573</v>
      </c>
      <c r="T31" s="24">
        <f t="shared" si="21"/>
        <v>0.37182574303495608</v>
      </c>
      <c r="U31" s="24">
        <f t="shared" si="21"/>
        <v>-1.1193175554782941E-2</v>
      </c>
      <c r="V31" s="24">
        <f t="shared" si="21"/>
        <v>0.15686610810486323</v>
      </c>
      <c r="W31" s="24">
        <f t="shared" si="21"/>
        <v>0.21941275453851339</v>
      </c>
      <c r="X31" s="24">
        <f t="shared" si="21"/>
        <v>0.22167173252279637</v>
      </c>
      <c r="AD31" s="10"/>
      <c r="AE31" s="10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 x14ac:dyDescent="0.3">
      <c r="A32" s="9"/>
      <c r="B32" s="9"/>
      <c r="F32" s="26" t="s">
        <v>26</v>
      </c>
      <c r="G32" s="22"/>
      <c r="H32" s="27">
        <f t="shared" ref="H32:O32" si="22">H19/H17</f>
        <v>0.81785763269784661</v>
      </c>
      <c r="I32" s="27">
        <f t="shared" si="22"/>
        <v>0.81295590079598679</v>
      </c>
      <c r="J32" s="27">
        <f t="shared" si="22"/>
        <v>0.81830052477272164</v>
      </c>
      <c r="K32" s="27">
        <f t="shared" si="22"/>
        <v>0.81731941717474421</v>
      </c>
      <c r="L32" s="27">
        <f t="shared" si="22"/>
        <v>0.82105213404546962</v>
      </c>
      <c r="M32" s="27">
        <f t="shared" si="22"/>
        <v>0.82130229817324696</v>
      </c>
      <c r="N32" s="27">
        <f t="shared" si="22"/>
        <v>0.82034268763904605</v>
      </c>
      <c r="O32" s="27">
        <f t="shared" si="22"/>
        <v>0.81790860367655649</v>
      </c>
      <c r="P32" s="22" t="s">
        <v>60</v>
      </c>
      <c r="Q32" s="22"/>
      <c r="R32" s="27"/>
      <c r="S32" s="27">
        <f t="shared" ref="S32:X32" si="23">S19/S17</f>
        <v>0.80582795323678236</v>
      </c>
      <c r="T32" s="27">
        <f t="shared" si="23"/>
        <v>0.80794376277251567</v>
      </c>
      <c r="U32" s="27">
        <f t="shared" si="23"/>
        <v>0.78347297378418479</v>
      </c>
      <c r="V32" s="27">
        <f t="shared" si="23"/>
        <v>0.80756999577467925</v>
      </c>
      <c r="W32" s="27">
        <f t="shared" si="23"/>
        <v>0.81665045592705166</v>
      </c>
      <c r="X32" s="27">
        <f t="shared" si="23"/>
        <v>0.81999353121190255</v>
      </c>
      <c r="Y32" s="1"/>
      <c r="AD32" s="10"/>
      <c r="AE32" s="10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</row>
    <row r="33" spans="1:51" x14ac:dyDescent="0.3">
      <c r="A33" s="9"/>
      <c r="B33" s="9"/>
      <c r="F33" s="26" t="s">
        <v>27</v>
      </c>
      <c r="G33" s="22"/>
      <c r="H33" s="27">
        <f t="shared" ref="H33:O33" si="24">H23/H17</f>
        <v>0.37904265532848719</v>
      </c>
      <c r="I33" s="27">
        <f t="shared" si="24"/>
        <v>0.38000051188861306</v>
      </c>
      <c r="J33" s="27">
        <f t="shared" si="24"/>
        <v>0.4274557146024785</v>
      </c>
      <c r="K33" s="27">
        <f t="shared" si="24"/>
        <v>0.48285625710447455</v>
      </c>
      <c r="L33" s="27">
        <f t="shared" si="24"/>
        <v>0.41487450961856598</v>
      </c>
      <c r="M33" s="27">
        <f t="shared" si="24"/>
        <v>0.43019193534809325</v>
      </c>
      <c r="N33" s="27">
        <f t="shared" si="24"/>
        <v>0.4007454822216151</v>
      </c>
      <c r="O33" s="27">
        <f t="shared" si="24"/>
        <v>0.41313676055632542</v>
      </c>
      <c r="P33" s="22" t="s">
        <v>59</v>
      </c>
      <c r="Q33" s="22"/>
      <c r="R33" s="27"/>
      <c r="S33" s="27">
        <f t="shared" ref="S33:X33" si="25">S23/S17</f>
        <v>0.35622637119758044</v>
      </c>
      <c r="T33" s="27">
        <f t="shared" si="25"/>
        <v>0.41137464067362567</v>
      </c>
      <c r="U33" s="27">
        <f t="shared" si="25"/>
        <v>0.24821411726367604</v>
      </c>
      <c r="V33" s="27">
        <f t="shared" si="25"/>
        <v>0.34655043328070212</v>
      </c>
      <c r="W33" s="27">
        <f t="shared" si="25"/>
        <v>0.42175683890577509</v>
      </c>
      <c r="X33" s="27">
        <f t="shared" si="25"/>
        <v>0.41437563754882689</v>
      </c>
      <c r="AD33" s="10"/>
      <c r="AE33" s="10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</row>
    <row r="34" spans="1:51" x14ac:dyDescent="0.3">
      <c r="A34" s="9"/>
      <c r="B34" s="9"/>
      <c r="F34" s="22" t="s">
        <v>64</v>
      </c>
      <c r="G34" s="22"/>
      <c r="H34" s="27">
        <f t="shared" ref="H34:O34" si="26">H20/H17</f>
        <v>0.27370731038266355</v>
      </c>
      <c r="I34" s="27">
        <f t="shared" si="26"/>
        <v>0.26968851577896652</v>
      </c>
      <c r="J34" s="27">
        <f t="shared" si="26"/>
        <v>0.27537017418512405</v>
      </c>
      <c r="K34" s="27">
        <f t="shared" si="26"/>
        <v>0.25173090833936135</v>
      </c>
      <c r="L34" s="27">
        <f t="shared" si="26"/>
        <v>0.27078508295126907</v>
      </c>
      <c r="M34" s="27">
        <f t="shared" si="26"/>
        <v>0.27237141173499452</v>
      </c>
      <c r="N34" s="27">
        <f t="shared" si="26"/>
        <v>0.27405253502985832</v>
      </c>
      <c r="O34" s="27">
        <f t="shared" si="26"/>
        <v>0.28611022991000618</v>
      </c>
      <c r="P34" s="27"/>
      <c r="Q34" s="27"/>
      <c r="R34" s="27"/>
      <c r="S34" s="27">
        <f t="shared" ref="S34:X34" si="27">S20/S17</f>
        <v>0.21458733205374281</v>
      </c>
      <c r="T34" s="27">
        <f t="shared" si="27"/>
        <v>0.20906647219937419</v>
      </c>
      <c r="U34" s="27">
        <f t="shared" si="27"/>
        <v>0.30304693462768739</v>
      </c>
      <c r="V34" s="27">
        <f t="shared" si="27"/>
        <v>0.28526845612708579</v>
      </c>
      <c r="W34" s="27">
        <f t="shared" si="27"/>
        <v>0.26670516717325227</v>
      </c>
      <c r="X34" s="27">
        <f t="shared" si="27"/>
        <v>0.28548254671211404</v>
      </c>
      <c r="AD34" s="10"/>
      <c r="AE34" s="10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</row>
    <row r="35" spans="1:51" x14ac:dyDescent="0.3">
      <c r="A35" s="9"/>
      <c r="B35" s="9"/>
      <c r="F35" s="22" t="s">
        <v>82</v>
      </c>
      <c r="G35" s="22"/>
      <c r="H35" s="27">
        <f t="shared" ref="H35:O35" si="28">H21/H17</f>
        <v>0.16510766698669593</v>
      </c>
      <c r="I35" s="27">
        <f t="shared" si="28"/>
        <v>0.16326687312840726</v>
      </c>
      <c r="J35" s="27">
        <f t="shared" si="28"/>
        <v>0.11547463598511912</v>
      </c>
      <c r="K35" s="27">
        <f t="shared" si="28"/>
        <v>8.2732251730908341E-2</v>
      </c>
      <c r="L35" s="27">
        <f t="shared" si="28"/>
        <v>0.13539254147563454</v>
      </c>
      <c r="M35" s="27">
        <f t="shared" si="28"/>
        <v>0.1187389510901591</v>
      </c>
      <c r="N35" s="27">
        <f t="shared" si="28"/>
        <v>0.14554467038757268</v>
      </c>
      <c r="O35" s="27">
        <f t="shared" si="28"/>
        <v>0.11866161321022491</v>
      </c>
      <c r="P35" s="27"/>
      <c r="Q35" s="27"/>
      <c r="R35" s="27"/>
      <c r="S35" s="27">
        <f t="shared" ref="S35:X35" si="29">S21/S17</f>
        <v>0.23501424998545919</v>
      </c>
      <c r="T35" s="27">
        <f t="shared" si="29"/>
        <v>0.18750264989951582</v>
      </c>
      <c r="U35" s="27">
        <f t="shared" si="29"/>
        <v>0.2322119218928213</v>
      </c>
      <c r="V35" s="27">
        <f t="shared" si="29"/>
        <v>0.17575110636689129</v>
      </c>
      <c r="W35" s="27">
        <f t="shared" si="29"/>
        <v>0.12818844984802433</v>
      </c>
      <c r="X35" s="27">
        <f t="shared" si="29"/>
        <v>0.12013534695096161</v>
      </c>
      <c r="AD35" s="10"/>
      <c r="AE35" s="10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</row>
    <row r="36" spans="1:51" x14ac:dyDescent="0.3">
      <c r="A36" s="9"/>
      <c r="B36" s="9"/>
      <c r="F36" s="22" t="s">
        <v>81</v>
      </c>
      <c r="G36" s="22"/>
      <c r="H36" s="27">
        <f t="shared" ref="H36:O36" si="30">H18/H17</f>
        <v>0.18214236730215333</v>
      </c>
      <c r="I36" s="27">
        <f t="shared" si="30"/>
        <v>0.18704409920401321</v>
      </c>
      <c r="J36" s="27">
        <f t="shared" si="30"/>
        <v>0.18169947522727833</v>
      </c>
      <c r="K36" s="27">
        <f t="shared" si="30"/>
        <v>0.18268058282525576</v>
      </c>
      <c r="L36" s="27">
        <f t="shared" si="30"/>
        <v>0.17894786595453041</v>
      </c>
      <c r="M36" s="27">
        <f t="shared" si="30"/>
        <v>0.1786977018267531</v>
      </c>
      <c r="N36" s="27">
        <f t="shared" si="30"/>
        <v>0.17965731236095389</v>
      </c>
      <c r="O36" s="27">
        <f t="shared" si="30"/>
        <v>0.18209139632344348</v>
      </c>
      <c r="P36" s="27"/>
      <c r="Q36" s="27"/>
      <c r="R36" s="27"/>
      <c r="S36" s="27">
        <f>S18/S17</f>
        <v>0.19417204676321759</v>
      </c>
      <c r="T36" s="27">
        <f t="shared" ref="T36:X36" si="31">T18/T17</f>
        <v>0.19205623722748433</v>
      </c>
      <c r="U36" s="27">
        <f t="shared" si="31"/>
        <v>0.21652702621581524</v>
      </c>
      <c r="V36" s="27">
        <f t="shared" si="31"/>
        <v>0.19243000422532078</v>
      </c>
      <c r="W36" s="27">
        <f t="shared" si="31"/>
        <v>0.18334954407294832</v>
      </c>
      <c r="X36" s="27">
        <f t="shared" si="31"/>
        <v>0.18000646878809742</v>
      </c>
      <c r="AD36" s="10"/>
      <c r="AE36" s="10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</row>
    <row r="37" spans="1:51" x14ac:dyDescent="0.3">
      <c r="A37" s="9"/>
      <c r="B37" s="9"/>
      <c r="H37" s="5"/>
      <c r="I37" s="5"/>
      <c r="J37" s="5"/>
      <c r="K37" s="5"/>
      <c r="L37" s="5"/>
      <c r="M37" s="5"/>
      <c r="N37" s="5"/>
      <c r="P37" s="5"/>
      <c r="Q37" s="5"/>
      <c r="R37" s="5"/>
      <c r="S37" s="5"/>
      <c r="T37" s="5"/>
      <c r="U37" s="5"/>
      <c r="V37" s="5"/>
      <c r="W37" s="5"/>
      <c r="AD37" s="10"/>
      <c r="AE37" s="10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</row>
    <row r="38" spans="1:51" x14ac:dyDescent="0.3">
      <c r="A38" s="9"/>
      <c r="B38" s="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40"/>
      <c r="O38" s="39"/>
      <c r="S38" s="13"/>
      <c r="T38" s="13"/>
      <c r="U38" s="13"/>
      <c r="V38" s="13"/>
      <c r="W38" s="13"/>
      <c r="X38" s="13"/>
      <c r="AD38" s="10"/>
      <c r="AE38" s="10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</row>
    <row r="39" spans="1:51" x14ac:dyDescent="0.3">
      <c r="A39" s="7" t="s">
        <v>28</v>
      </c>
      <c r="B39" s="8"/>
      <c r="C39" t="s">
        <v>4</v>
      </c>
      <c r="D39" s="1">
        <f>11551+25888</f>
        <v>37439</v>
      </c>
      <c r="E39" s="1">
        <f>28785+24661</f>
        <v>53446</v>
      </c>
      <c r="F39" s="1">
        <f>36890+24233</f>
        <v>61123</v>
      </c>
      <c r="G39" s="1">
        <v>65403</v>
      </c>
      <c r="H39" s="1">
        <v>58123</v>
      </c>
      <c r="I39" s="1">
        <v>58080</v>
      </c>
      <c r="J39" s="1">
        <v>70330</v>
      </c>
      <c r="K39" s="1">
        <f>43889+33926</f>
        <v>77815</v>
      </c>
      <c r="L39" s="1">
        <v>70230</v>
      </c>
      <c r="M39" s="1">
        <v>47070</v>
      </c>
      <c r="N39" s="1">
        <v>44450</v>
      </c>
      <c r="O39" s="1">
        <v>81592</v>
      </c>
      <c r="P39" s="1"/>
      <c r="Q39" s="1"/>
      <c r="R39" s="1"/>
      <c r="S39" s="1">
        <v>61954</v>
      </c>
      <c r="T39" s="1">
        <v>48000</v>
      </c>
      <c r="U39" s="1">
        <v>40740</v>
      </c>
      <c r="V39" s="1">
        <v>65403</v>
      </c>
      <c r="W39" s="1">
        <f>43889+33926</f>
        <v>77815</v>
      </c>
      <c r="X39" s="1">
        <v>81592</v>
      </c>
      <c r="AD39" s="10"/>
      <c r="AE39" s="10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</row>
    <row r="40" spans="1:51" x14ac:dyDescent="0.3">
      <c r="A40" t="s">
        <v>29</v>
      </c>
      <c r="B40" s="9"/>
      <c r="C40" t="s">
        <v>30</v>
      </c>
      <c r="D40" s="1">
        <v>11044</v>
      </c>
      <c r="E40" s="1">
        <v>12511</v>
      </c>
      <c r="F40" s="1">
        <v>12944</v>
      </c>
      <c r="G40" s="1">
        <v>14832</v>
      </c>
      <c r="H40" s="1">
        <v>13430</v>
      </c>
      <c r="I40" s="1">
        <v>14505</v>
      </c>
      <c r="J40" s="1">
        <v>14700</v>
      </c>
      <c r="K40" s="1">
        <v>16994</v>
      </c>
      <c r="L40" s="1">
        <v>14514</v>
      </c>
      <c r="M40" s="1">
        <v>16561</v>
      </c>
      <c r="N40" s="1">
        <v>17297</v>
      </c>
      <c r="O40" s="1">
        <v>19769</v>
      </c>
      <c r="P40" s="1"/>
      <c r="Q40" s="1"/>
      <c r="R40" s="1"/>
      <c r="S40" s="1">
        <v>11335</v>
      </c>
      <c r="T40" s="1">
        <v>14039</v>
      </c>
      <c r="U40" s="1">
        <v>13466</v>
      </c>
      <c r="V40" s="1">
        <v>16169</v>
      </c>
      <c r="W40" s="1">
        <v>16994</v>
      </c>
      <c r="X40" s="1">
        <v>19769</v>
      </c>
      <c r="AD40" s="10"/>
      <c r="AE40" s="10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</row>
    <row r="41" spans="1:51" x14ac:dyDescent="0.3">
      <c r="A41" s="9"/>
      <c r="B41" s="9"/>
      <c r="C41" t="s">
        <v>31</v>
      </c>
      <c r="D41" s="1">
        <v>4000</v>
      </c>
      <c r="E41" s="1">
        <v>3603</v>
      </c>
      <c r="F41" s="1">
        <v>4311</v>
      </c>
      <c r="G41" s="1">
        <v>6027</v>
      </c>
      <c r="H41" s="1">
        <v>3780</v>
      </c>
      <c r="I41" s="1">
        <v>5765</v>
      </c>
      <c r="J41" s="1">
        <v>5950</v>
      </c>
      <c r="K41" s="1">
        <v>5236</v>
      </c>
      <c r="L41" s="1">
        <v>5483</v>
      </c>
      <c r="M41" s="1">
        <v>6159</v>
      </c>
      <c r="N41" s="1">
        <v>7203</v>
      </c>
      <c r="O41" s="1">
        <v>7361</v>
      </c>
      <c r="P41" s="1"/>
      <c r="Q41" s="1"/>
      <c r="R41" s="1"/>
      <c r="S41" s="1">
        <v>2381</v>
      </c>
      <c r="T41" s="1">
        <v>4627</v>
      </c>
      <c r="U41" s="1">
        <v>5343</v>
      </c>
      <c r="V41" s="1">
        <v>3793</v>
      </c>
      <c r="W41" s="1">
        <v>5236</v>
      </c>
      <c r="X41" s="1">
        <v>7361</v>
      </c>
      <c r="AD41" s="10"/>
      <c r="AE41" s="10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</row>
    <row r="42" spans="1:51" x14ac:dyDescent="0.3">
      <c r="A42" s="9"/>
      <c r="B42" s="9"/>
      <c r="C42" s="14" t="s">
        <v>53</v>
      </c>
      <c r="D42" s="1">
        <f t="shared" ref="D42:N42" si="32">SUM(D39:D41)</f>
        <v>52483</v>
      </c>
      <c r="E42" s="1">
        <f t="shared" si="32"/>
        <v>69560</v>
      </c>
      <c r="F42" s="1">
        <f t="shared" si="32"/>
        <v>78378</v>
      </c>
      <c r="G42" s="1">
        <f t="shared" si="32"/>
        <v>86262</v>
      </c>
      <c r="H42" s="1">
        <f t="shared" si="32"/>
        <v>75333</v>
      </c>
      <c r="I42" s="1">
        <f t="shared" si="32"/>
        <v>78350</v>
      </c>
      <c r="J42" s="1">
        <f t="shared" si="32"/>
        <v>90980</v>
      </c>
      <c r="K42" s="1">
        <f t="shared" si="32"/>
        <v>100045</v>
      </c>
      <c r="L42" s="1">
        <f t="shared" si="32"/>
        <v>90227</v>
      </c>
      <c r="M42" s="1">
        <f t="shared" si="32"/>
        <v>69790</v>
      </c>
      <c r="N42" s="1">
        <f t="shared" si="32"/>
        <v>68950</v>
      </c>
      <c r="O42" s="1">
        <f>SUM(O39:O41)</f>
        <v>108722</v>
      </c>
      <c r="P42" s="20"/>
      <c r="Q42" s="20"/>
      <c r="R42" s="1"/>
      <c r="S42" s="1">
        <f t="shared" ref="S42:X42" si="33">SUM(S39:S41)</f>
        <v>75670</v>
      </c>
      <c r="T42" s="1">
        <f t="shared" si="33"/>
        <v>66666</v>
      </c>
      <c r="U42" s="1">
        <f t="shared" si="33"/>
        <v>59549</v>
      </c>
      <c r="V42" s="1">
        <f t="shared" si="33"/>
        <v>85365</v>
      </c>
      <c r="W42" s="1">
        <f t="shared" si="33"/>
        <v>100045</v>
      </c>
      <c r="X42" s="1">
        <f t="shared" si="33"/>
        <v>108722</v>
      </c>
      <c r="AD42" s="10"/>
      <c r="AE42" s="10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</row>
    <row r="43" spans="1:51" x14ac:dyDescent="0.3">
      <c r="A43" s="9"/>
      <c r="B43" s="9"/>
      <c r="C43" t="s">
        <v>102</v>
      </c>
      <c r="D43" s="1">
        <v>6167</v>
      </c>
      <c r="E43" s="1">
        <v>6208</v>
      </c>
      <c r="F43" s="1">
        <v>6142</v>
      </c>
      <c r="G43" s="1">
        <v>7120</v>
      </c>
      <c r="H43" s="1">
        <v>6218</v>
      </c>
      <c r="I43" s="1">
        <v>6045</v>
      </c>
      <c r="J43" s="1">
        <v>6060</v>
      </c>
      <c r="K43" s="1">
        <v>6070</v>
      </c>
      <c r="L43" s="1">
        <v>6168</v>
      </c>
      <c r="M43" s="1">
        <v>14500</v>
      </c>
      <c r="N43" s="1">
        <v>25120</v>
      </c>
      <c r="O43" s="1">
        <v>27524</v>
      </c>
      <c r="P43" s="1"/>
      <c r="Q43" s="1"/>
      <c r="R43" s="1"/>
      <c r="S43" s="1">
        <v>6234</v>
      </c>
      <c r="T43" s="1">
        <v>6775</v>
      </c>
      <c r="U43" s="1">
        <v>6201</v>
      </c>
      <c r="V43" s="1">
        <v>6141</v>
      </c>
      <c r="W43" s="1">
        <v>6070</v>
      </c>
      <c r="X43" s="1">
        <v>27524</v>
      </c>
      <c r="AD43" s="10"/>
      <c r="AE43" s="10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</row>
    <row r="44" spans="1:51" x14ac:dyDescent="0.3">
      <c r="A44" s="9"/>
      <c r="B44" s="9"/>
      <c r="C44" t="s">
        <v>32</v>
      </c>
      <c r="D44" s="1">
        <v>84156</v>
      </c>
      <c r="E44" s="1">
        <v>87949</v>
      </c>
      <c r="F44" s="1">
        <v>91772</v>
      </c>
      <c r="G44" s="1">
        <v>81500</v>
      </c>
      <c r="H44" s="1">
        <v>98908</v>
      </c>
      <c r="I44" s="1">
        <v>102959</v>
      </c>
      <c r="J44" s="1">
        <v>112162</v>
      </c>
      <c r="K44" s="1">
        <v>121346</v>
      </c>
      <c r="L44" s="1">
        <v>133567</v>
      </c>
      <c r="M44" s="1">
        <v>147039</v>
      </c>
      <c r="N44" s="1">
        <v>160270</v>
      </c>
      <c r="O44" s="1">
        <v>176400</v>
      </c>
      <c r="P44" s="1"/>
      <c r="Q44" s="1"/>
      <c r="R44" s="1"/>
      <c r="S44" s="1">
        <v>45633</v>
      </c>
      <c r="T44" s="1">
        <v>57809</v>
      </c>
      <c r="U44" s="1">
        <v>79518</v>
      </c>
      <c r="V44" s="1">
        <v>96587</v>
      </c>
      <c r="W44" s="1">
        <v>121346</v>
      </c>
      <c r="X44" s="1">
        <v>176400</v>
      </c>
      <c r="AD44" s="10"/>
      <c r="AE44" s="10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</row>
    <row r="45" spans="1:51" x14ac:dyDescent="0.3">
      <c r="A45" s="9"/>
      <c r="B45" s="9"/>
      <c r="C45" t="s">
        <v>103</v>
      </c>
      <c r="D45" s="1">
        <f>12899</f>
        <v>12899</v>
      </c>
      <c r="E45" s="1">
        <v>12955</v>
      </c>
      <c r="F45" s="1">
        <v>13033</v>
      </c>
      <c r="G45" s="1">
        <v>10802</v>
      </c>
      <c r="H45" s="1">
        <v>13555</v>
      </c>
      <c r="I45" s="1">
        <v>14105</v>
      </c>
      <c r="J45" s="1">
        <v>14500</v>
      </c>
      <c r="K45" s="1">
        <v>14922</v>
      </c>
      <c r="L45" s="1">
        <v>15505</v>
      </c>
      <c r="M45" s="1">
        <v>16800</v>
      </c>
      <c r="N45" s="1">
        <v>18540</v>
      </c>
      <c r="O45" s="1">
        <v>20404</v>
      </c>
      <c r="P45" s="1"/>
      <c r="Q45" s="1"/>
      <c r="R45" s="1"/>
      <c r="S45" s="1">
        <v>9348</v>
      </c>
      <c r="T45" s="1">
        <v>12155</v>
      </c>
      <c r="U45" s="1">
        <v>12640</v>
      </c>
      <c r="V45" s="1">
        <v>13294</v>
      </c>
      <c r="W45" s="1">
        <v>14922</v>
      </c>
      <c r="X45" s="1">
        <v>20404</v>
      </c>
      <c r="AD45" s="10"/>
      <c r="AE45" s="10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</row>
    <row r="46" spans="1:51" x14ac:dyDescent="0.3">
      <c r="A46" s="9"/>
      <c r="B46" s="9"/>
      <c r="C46" t="s">
        <v>33</v>
      </c>
      <c r="D46" s="1">
        <f>949+20649</f>
        <v>21598</v>
      </c>
      <c r="E46" s="1">
        <f>20659+856</f>
        <v>21515</v>
      </c>
      <c r="F46" s="1">
        <f>20668+813</f>
        <v>21481</v>
      </c>
      <c r="G46" s="1">
        <v>20654</v>
      </c>
      <c r="H46" s="1">
        <v>20654</v>
      </c>
      <c r="I46" s="1">
        <v>20654</v>
      </c>
      <c r="J46" s="1">
        <v>20654</v>
      </c>
      <c r="K46" s="1">
        <v>20654</v>
      </c>
      <c r="L46" s="1">
        <v>20654</v>
      </c>
      <c r="M46" s="1">
        <v>20654</v>
      </c>
      <c r="N46" s="1">
        <v>21158</v>
      </c>
      <c r="O46" s="1">
        <v>24534</v>
      </c>
      <c r="P46" s="1"/>
      <c r="Q46" s="1"/>
      <c r="R46" s="1"/>
      <c r="S46" s="1">
        <f>19050+623</f>
        <v>19673</v>
      </c>
      <c r="T46" s="1">
        <f>19197+634</f>
        <v>19831</v>
      </c>
      <c r="U46" s="1">
        <v>20306</v>
      </c>
      <c r="V46" s="1">
        <v>20654</v>
      </c>
      <c r="W46" s="1">
        <v>20654</v>
      </c>
      <c r="X46" s="1">
        <v>24534</v>
      </c>
      <c r="AD46" s="10"/>
      <c r="AE46" s="10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</row>
    <row r="47" spans="1:51" x14ac:dyDescent="0.3">
      <c r="A47" s="9"/>
      <c r="B47" s="9"/>
      <c r="C47" t="s">
        <v>104</v>
      </c>
      <c r="D47" s="1">
        <v>7188</v>
      </c>
      <c r="E47" s="1">
        <v>8501</v>
      </c>
      <c r="F47" s="1">
        <v>5468</v>
      </c>
      <c r="G47" s="1">
        <v>3285</v>
      </c>
      <c r="H47" s="1">
        <v>8979</v>
      </c>
      <c r="I47" s="1">
        <v>10941</v>
      </c>
      <c r="J47" s="1">
        <v>7748</v>
      </c>
      <c r="K47" s="1">
        <v>13017</v>
      </c>
      <c r="L47" s="1">
        <v>14092</v>
      </c>
      <c r="M47" s="1">
        <v>26007</v>
      </c>
      <c r="N47" s="1">
        <v>11150</v>
      </c>
      <c r="O47" s="1">
        <v>8437</v>
      </c>
      <c r="P47" s="1"/>
      <c r="Q47" s="1"/>
      <c r="R47" s="1"/>
      <c r="S47" s="1">
        <v>2758</v>
      </c>
      <c r="T47" s="1">
        <v>2751</v>
      </c>
      <c r="U47" s="1">
        <v>7513</v>
      </c>
      <c r="V47" s="1">
        <v>7582</v>
      </c>
      <c r="W47" s="1">
        <v>13017</v>
      </c>
      <c r="X47" s="1">
        <v>8437</v>
      </c>
      <c r="AD47" s="10"/>
      <c r="AE47" s="10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</row>
    <row r="48" spans="1:51" x14ac:dyDescent="0.3">
      <c r="A48" s="9"/>
      <c r="B48" s="9"/>
      <c r="C48" t="s">
        <v>29</v>
      </c>
      <c r="D48" s="6">
        <f t="shared" ref="D48:N48" si="34">SUM(D42:D47)</f>
        <v>184491</v>
      </c>
      <c r="E48" s="6">
        <f t="shared" si="34"/>
        <v>206688</v>
      </c>
      <c r="F48" s="6">
        <f t="shared" si="34"/>
        <v>216274</v>
      </c>
      <c r="G48" s="6">
        <f t="shared" si="34"/>
        <v>209623</v>
      </c>
      <c r="H48" s="6">
        <f t="shared" si="34"/>
        <v>223647</v>
      </c>
      <c r="I48" s="6">
        <f t="shared" si="34"/>
        <v>233054</v>
      </c>
      <c r="J48" s="6">
        <f t="shared" si="34"/>
        <v>252104</v>
      </c>
      <c r="K48" s="6">
        <f t="shared" si="34"/>
        <v>276054</v>
      </c>
      <c r="L48" s="6">
        <f t="shared" si="34"/>
        <v>280213</v>
      </c>
      <c r="M48" s="6">
        <f t="shared" si="34"/>
        <v>294790</v>
      </c>
      <c r="N48" s="6">
        <f t="shared" si="34"/>
        <v>305188</v>
      </c>
      <c r="O48" s="6">
        <f>SUM(O42:O47)</f>
        <v>366021</v>
      </c>
      <c r="P48" s="6"/>
      <c r="Q48" s="6"/>
      <c r="R48" s="1"/>
      <c r="S48" s="6">
        <f t="shared" ref="S48:X48" si="35">SUM(S42:S47)</f>
        <v>159316</v>
      </c>
      <c r="T48" s="6">
        <f>SUM(T42:T47)</f>
        <v>165987</v>
      </c>
      <c r="U48" s="6">
        <f t="shared" si="35"/>
        <v>185727</v>
      </c>
      <c r="V48" s="6">
        <f t="shared" si="35"/>
        <v>229623</v>
      </c>
      <c r="W48" s="6">
        <f t="shared" si="35"/>
        <v>276054</v>
      </c>
      <c r="X48" s="6">
        <f t="shared" si="35"/>
        <v>366021</v>
      </c>
      <c r="AD48" s="10"/>
      <c r="AE48" s="10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</row>
    <row r="49" spans="1:51" x14ac:dyDescent="0.3">
      <c r="A49" s="9"/>
      <c r="B49" s="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AD49" s="10"/>
      <c r="AE49" s="10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</row>
    <row r="50" spans="1:51" x14ac:dyDescent="0.3">
      <c r="A50" s="9"/>
      <c r="B50" s="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AD50" s="10"/>
      <c r="AE50" s="10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</row>
    <row r="51" spans="1:51" x14ac:dyDescent="0.3">
      <c r="A51" t="s">
        <v>34</v>
      </c>
      <c r="C51" t="s">
        <v>35</v>
      </c>
      <c r="D51" s="1">
        <f>3672+885</f>
        <v>4557</v>
      </c>
      <c r="E51" s="1">
        <f>3093+772</f>
        <v>3865</v>
      </c>
      <c r="F51" s="1">
        <f>4372+770</f>
        <v>5142</v>
      </c>
      <c r="G51" s="1">
        <v>4849</v>
      </c>
      <c r="H51" s="1">
        <v>5210</v>
      </c>
      <c r="I51" s="1">
        <v>6105</v>
      </c>
      <c r="J51" s="1">
        <v>6880</v>
      </c>
      <c r="K51" s="1">
        <v>7687</v>
      </c>
      <c r="L51" s="1">
        <v>8512</v>
      </c>
      <c r="M51" s="1">
        <v>8115</v>
      </c>
      <c r="N51" s="1">
        <v>8550</v>
      </c>
      <c r="O51" s="1">
        <v>8894</v>
      </c>
      <c r="P51" s="1"/>
      <c r="Q51" s="1"/>
      <c r="R51" s="1"/>
      <c r="S51" s="1">
        <v>1331</v>
      </c>
      <c r="T51" s="1">
        <v>4083</v>
      </c>
      <c r="U51" s="1">
        <v>4990</v>
      </c>
      <c r="V51" s="1">
        <v>4849</v>
      </c>
      <c r="W51" s="1">
        <v>7687</v>
      </c>
      <c r="X51" s="1">
        <v>8894</v>
      </c>
      <c r="AD51" s="10"/>
      <c r="AE51" s="10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</row>
    <row r="52" spans="1:51" x14ac:dyDescent="0.3">
      <c r="A52" s="9"/>
      <c r="B52" s="9"/>
      <c r="C52" t="s">
        <v>106</v>
      </c>
      <c r="D52" s="1">
        <f>1479+16171</f>
        <v>17650</v>
      </c>
      <c r="E52" s="1">
        <f>1396+16440</f>
        <v>17836</v>
      </c>
      <c r="F52" s="1">
        <f>1460+16374</f>
        <v>17834</v>
      </c>
      <c r="G52" s="1">
        <v>18849</v>
      </c>
      <c r="H52" s="1">
        <v>19250</v>
      </c>
      <c r="I52" s="1">
        <v>19650</v>
      </c>
      <c r="J52" s="1">
        <v>19950</v>
      </c>
      <c r="K52" s="1">
        <v>20234</v>
      </c>
      <c r="L52" s="1">
        <f>1976+18714</f>
        <v>20690</v>
      </c>
      <c r="M52" s="1">
        <v>22100</v>
      </c>
      <c r="N52" s="1">
        <v>23800</v>
      </c>
      <c r="O52" s="1">
        <v>25153</v>
      </c>
      <c r="P52" s="1"/>
      <c r="Q52" s="1"/>
      <c r="R52" s="1"/>
      <c r="S52" s="1">
        <v>9662</v>
      </c>
      <c r="T52" s="1">
        <v>12746</v>
      </c>
      <c r="U52" s="1">
        <v>15301</v>
      </c>
      <c r="V52" s="1">
        <v>17226</v>
      </c>
      <c r="W52" s="1">
        <v>18292</v>
      </c>
      <c r="X52" s="1">
        <v>25153</v>
      </c>
      <c r="AD52" s="10"/>
      <c r="AE52" s="10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</row>
    <row r="53" spans="1:51" x14ac:dyDescent="0.3">
      <c r="A53" s="9"/>
      <c r="B53" s="9"/>
      <c r="C53" t="s">
        <v>105</v>
      </c>
      <c r="D53" s="1">
        <f>19345</f>
        <v>19345</v>
      </c>
      <c r="E53" s="1">
        <v>24660</v>
      </c>
      <c r="F53" s="1">
        <v>23929</v>
      </c>
      <c r="G53" s="1">
        <v>25488</v>
      </c>
      <c r="H53" s="1">
        <v>24115</v>
      </c>
      <c r="I53" s="1">
        <v>22850</v>
      </c>
      <c r="J53" s="1">
        <v>22950</v>
      </c>
      <c r="K53" s="1">
        <v>23967</v>
      </c>
      <c r="L53" s="1">
        <v>23402</v>
      </c>
      <c r="M53" s="1">
        <v>27900</v>
      </c>
      <c r="N53" s="1">
        <v>29150</v>
      </c>
      <c r="O53" s="1">
        <v>30729</v>
      </c>
      <c r="P53" s="1"/>
      <c r="Q53" s="1"/>
      <c r="R53" s="1"/>
      <c r="S53" s="1">
        <v>12504</v>
      </c>
      <c r="T53" s="1">
        <v>15417</v>
      </c>
      <c r="U53" s="1">
        <v>20014</v>
      </c>
      <c r="V53" s="1">
        <v>25488</v>
      </c>
      <c r="W53" s="1">
        <v>23967</v>
      </c>
      <c r="X53" s="1">
        <v>30729</v>
      </c>
      <c r="AD53" s="10"/>
      <c r="AE53" s="10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</row>
    <row r="54" spans="1:51" x14ac:dyDescent="0.3">
      <c r="A54" s="9"/>
      <c r="B54" s="9"/>
      <c r="C54" t="s">
        <v>5</v>
      </c>
      <c r="D54" s="1">
        <f>9925</f>
        <v>9925</v>
      </c>
      <c r="E54" s="1">
        <v>18382</v>
      </c>
      <c r="F54" s="1">
        <v>18383</v>
      </c>
      <c r="G54" s="1">
        <v>18385</v>
      </c>
      <c r="H54" s="1">
        <v>18385</v>
      </c>
      <c r="I54" s="1">
        <v>18385</v>
      </c>
      <c r="J54" s="1">
        <v>28826</v>
      </c>
      <c r="K54" s="1">
        <v>28826</v>
      </c>
      <c r="L54" s="1">
        <f>28829</f>
        <v>28829</v>
      </c>
      <c r="M54" s="1">
        <v>44550</v>
      </c>
      <c r="N54" s="1">
        <v>58744</v>
      </c>
      <c r="O54" s="1">
        <v>58744</v>
      </c>
      <c r="P54" s="1"/>
      <c r="Q54" s="1"/>
      <c r="R54" s="1"/>
      <c r="S54" s="1">
        <v>0</v>
      </c>
      <c r="T54" s="1">
        <v>0</v>
      </c>
      <c r="U54" s="1">
        <v>9923</v>
      </c>
      <c r="V54" s="1">
        <v>18385</v>
      </c>
      <c r="W54" s="1">
        <v>28826</v>
      </c>
      <c r="X54" s="1">
        <v>58744</v>
      </c>
      <c r="AD54" s="10"/>
      <c r="AE54" s="10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</row>
    <row r="55" spans="1:51" x14ac:dyDescent="0.3">
      <c r="A55" s="9"/>
      <c r="B55" s="9"/>
      <c r="C55" t="s">
        <v>108</v>
      </c>
      <c r="D55" s="1">
        <v>0</v>
      </c>
      <c r="E55" s="1">
        <v>0</v>
      </c>
      <c r="F55" s="1">
        <v>0</v>
      </c>
      <c r="G55" s="1">
        <v>7514</v>
      </c>
      <c r="H55" s="1">
        <v>8220</v>
      </c>
      <c r="I55" s="1">
        <v>8540</v>
      </c>
      <c r="J55" s="1">
        <v>9150</v>
      </c>
      <c r="K55" s="1">
        <v>9987</v>
      </c>
      <c r="L55" s="1">
        <f>10991</f>
        <v>10991</v>
      </c>
      <c r="M55" s="1">
        <v>12850</v>
      </c>
      <c r="N55" s="1">
        <v>18440</v>
      </c>
      <c r="O55" s="1">
        <v>21005</v>
      </c>
      <c r="P55" s="1"/>
      <c r="Q55" s="1"/>
      <c r="R55" s="1"/>
      <c r="S55" s="1">
        <v>4028</v>
      </c>
      <c r="T55" s="1">
        <v>5618</v>
      </c>
      <c r="U55" s="1">
        <v>6569</v>
      </c>
      <c r="V55" s="1">
        <v>7514</v>
      </c>
      <c r="W55" s="1">
        <v>9987</v>
      </c>
      <c r="X55" s="1">
        <v>21005</v>
      </c>
      <c r="AD55" s="10"/>
      <c r="AE55" s="10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</row>
    <row r="56" spans="1:51" x14ac:dyDescent="0.3">
      <c r="A56" s="9"/>
      <c r="B56" s="9"/>
      <c r="C56" t="s">
        <v>107</v>
      </c>
      <c r="D56" s="1">
        <f>8219</f>
        <v>8219</v>
      </c>
      <c r="E56" s="1">
        <v>7912</v>
      </c>
      <c r="F56" s="1">
        <f>8113</f>
        <v>8113</v>
      </c>
      <c r="G56" s="1">
        <v>1370</v>
      </c>
      <c r="H56" s="1">
        <v>2135</v>
      </c>
      <c r="I56" s="1">
        <v>1945</v>
      </c>
      <c r="J56" s="1">
        <v>4123</v>
      </c>
      <c r="K56" s="1">
        <v>2716</v>
      </c>
      <c r="L56" s="30">
        <v>2760</v>
      </c>
      <c r="M56" s="1">
        <v>3550</v>
      </c>
      <c r="N56" s="1">
        <v>3940</v>
      </c>
      <c r="O56" s="1">
        <v>4253</v>
      </c>
      <c r="P56" s="1"/>
      <c r="Q56" s="1"/>
      <c r="R56" s="1"/>
      <c r="S56" s="1">
        <v>3501</v>
      </c>
      <c r="T56" s="1">
        <v>3244</v>
      </c>
      <c r="U56" s="1">
        <v>3217</v>
      </c>
      <c r="V56" s="1">
        <v>2993</v>
      </c>
      <c r="W56" s="1">
        <v>4658</v>
      </c>
      <c r="X56" s="1">
        <v>4253</v>
      </c>
      <c r="AD56" s="10"/>
      <c r="AE56" s="10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</row>
    <row r="57" spans="1:51" x14ac:dyDescent="0.3">
      <c r="A57" s="9"/>
      <c r="B57" s="9"/>
      <c r="C57" t="s">
        <v>109</v>
      </c>
      <c r="D57" s="1">
        <f>124795</f>
        <v>124795</v>
      </c>
      <c r="E57" s="1">
        <v>134033</v>
      </c>
      <c r="F57" s="1">
        <v>142873</v>
      </c>
      <c r="G57" s="1">
        <v>153168</v>
      </c>
      <c r="H57" s="1">
        <v>146332</v>
      </c>
      <c r="I57" s="1">
        <v>155579</v>
      </c>
      <c r="J57" s="1">
        <v>160225</v>
      </c>
      <c r="K57" s="1">
        <v>182637</v>
      </c>
      <c r="L57" s="41">
        <v>185029</v>
      </c>
      <c r="M57" s="1">
        <v>175725</v>
      </c>
      <c r="N57" s="1">
        <v>162564</v>
      </c>
      <c r="O57" s="1">
        <v>217243</v>
      </c>
      <c r="P57" s="1"/>
      <c r="Q57" s="1"/>
      <c r="R57" s="1"/>
      <c r="S57" s="1">
        <v>128290</v>
      </c>
      <c r="T57" s="1">
        <v>124879</v>
      </c>
      <c r="U57" s="1">
        <v>125713</v>
      </c>
      <c r="V57" s="1">
        <v>153168</v>
      </c>
      <c r="W57" s="1">
        <v>182637</v>
      </c>
      <c r="X57" s="1">
        <v>217243</v>
      </c>
      <c r="AD57" s="10"/>
      <c r="AE57" s="10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</row>
    <row r="58" spans="1:51" x14ac:dyDescent="0.3">
      <c r="A58" s="9"/>
      <c r="B58" s="9"/>
      <c r="C58" t="s">
        <v>36</v>
      </c>
      <c r="D58" s="42">
        <f t="shared" ref="D58:M58" si="36">SUM(D51:D57)</f>
        <v>184491</v>
      </c>
      <c r="E58" s="42">
        <f t="shared" si="36"/>
        <v>206688</v>
      </c>
      <c r="F58" s="42">
        <f t="shared" si="36"/>
        <v>216274</v>
      </c>
      <c r="G58" s="42">
        <f t="shared" si="36"/>
        <v>229623</v>
      </c>
      <c r="H58" s="42">
        <f t="shared" si="36"/>
        <v>223647</v>
      </c>
      <c r="I58" s="42">
        <f t="shared" si="36"/>
        <v>233054</v>
      </c>
      <c r="J58" s="42">
        <f t="shared" si="36"/>
        <v>252104</v>
      </c>
      <c r="K58" s="42">
        <f t="shared" si="36"/>
        <v>276054</v>
      </c>
      <c r="L58" s="42">
        <f t="shared" si="36"/>
        <v>280213</v>
      </c>
      <c r="M58" s="42">
        <f t="shared" si="36"/>
        <v>294790</v>
      </c>
      <c r="N58" s="42">
        <f>SUM(N51:N57)</f>
        <v>305188</v>
      </c>
      <c r="O58" s="42">
        <f>SUM(O51:O57)</f>
        <v>366021</v>
      </c>
      <c r="P58" s="42"/>
      <c r="Q58" s="42"/>
      <c r="R58" s="43"/>
      <c r="S58" s="42">
        <f t="shared" ref="S58:W58" si="37">SUM(S51:S57)</f>
        <v>159316</v>
      </c>
      <c r="T58" s="42">
        <f t="shared" si="37"/>
        <v>165987</v>
      </c>
      <c r="U58" s="42">
        <f t="shared" si="37"/>
        <v>185727</v>
      </c>
      <c r="V58" s="42">
        <f t="shared" si="37"/>
        <v>229623</v>
      </c>
      <c r="W58" s="42">
        <f t="shared" si="37"/>
        <v>276054</v>
      </c>
      <c r="X58" s="42">
        <f>SUM(X51:X57)</f>
        <v>366021</v>
      </c>
      <c r="AD58" s="10"/>
      <c r="AE58" s="10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</row>
    <row r="59" spans="1:51" x14ac:dyDescent="0.3">
      <c r="A59" s="9"/>
      <c r="B59" s="9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AD59" s="10"/>
      <c r="AE59" s="10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</row>
    <row r="60" spans="1:51" x14ac:dyDescent="0.3">
      <c r="A60" s="9"/>
      <c r="B60" s="9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AD60" s="10"/>
      <c r="AE60" s="10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</row>
    <row r="61" spans="1:51" x14ac:dyDescent="0.3">
      <c r="A61" s="7" t="s">
        <v>37</v>
      </c>
      <c r="B61" s="8"/>
      <c r="C61" t="s">
        <v>38</v>
      </c>
      <c r="D61" s="44">
        <f t="shared" ref="D61:O61" si="38">D27</f>
        <v>5708</v>
      </c>
      <c r="E61" s="44">
        <f t="shared" si="38"/>
        <v>7788</v>
      </c>
      <c r="F61" s="44">
        <f t="shared" si="38"/>
        <v>11583</v>
      </c>
      <c r="G61" s="44">
        <f t="shared" si="38"/>
        <v>14016</v>
      </c>
      <c r="H61" s="44">
        <f t="shared" si="38"/>
        <v>12369</v>
      </c>
      <c r="I61" s="44">
        <f t="shared" si="38"/>
        <v>13465</v>
      </c>
      <c r="J61" s="44">
        <f t="shared" si="38"/>
        <v>15688</v>
      </c>
      <c r="K61" s="44">
        <f t="shared" si="38"/>
        <v>20836</v>
      </c>
      <c r="L61" s="44">
        <f t="shared" si="38"/>
        <v>16644</v>
      </c>
      <c r="M61" s="44">
        <f t="shared" si="38"/>
        <v>18337</v>
      </c>
      <c r="N61" s="44">
        <f t="shared" si="38"/>
        <v>2709</v>
      </c>
      <c r="O61" s="44">
        <f t="shared" si="38"/>
        <v>22766</v>
      </c>
      <c r="P61" s="44"/>
      <c r="Q61" s="44"/>
      <c r="R61" s="44"/>
      <c r="S61" s="44">
        <f t="shared" ref="S61:X61" si="39">S27</f>
        <v>26094</v>
      </c>
      <c r="T61" s="44">
        <f t="shared" si="39"/>
        <v>40084</v>
      </c>
      <c r="U61" s="44">
        <f t="shared" si="39"/>
        <v>22648</v>
      </c>
      <c r="V61" s="44">
        <f t="shared" si="39"/>
        <v>41275</v>
      </c>
      <c r="W61" s="44">
        <f t="shared" si="39"/>
        <v>64927</v>
      </c>
      <c r="X61" s="44">
        <f t="shared" si="39"/>
        <v>65769</v>
      </c>
      <c r="AD61" s="10"/>
      <c r="AE61" s="10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</row>
    <row r="62" spans="1:51" x14ac:dyDescent="0.3">
      <c r="A62" s="9"/>
      <c r="B62" s="9"/>
      <c r="C62" t="s">
        <v>63</v>
      </c>
      <c r="D62" s="44">
        <v>5709</v>
      </c>
      <c r="E62" s="44">
        <v>7788</v>
      </c>
      <c r="F62" s="44">
        <v>11583</v>
      </c>
      <c r="G62" s="44">
        <v>14017</v>
      </c>
      <c r="H62" s="44">
        <v>12369</v>
      </c>
      <c r="I62" s="44">
        <v>13465</v>
      </c>
      <c r="J62" s="44">
        <v>15688</v>
      </c>
      <c r="K62" s="44">
        <v>20838</v>
      </c>
      <c r="L62" s="43">
        <v>16644</v>
      </c>
      <c r="M62" s="44">
        <v>18337</v>
      </c>
      <c r="N62" s="44">
        <v>2709</v>
      </c>
      <c r="O62" s="44">
        <v>22768</v>
      </c>
      <c r="P62" s="44"/>
      <c r="Q62" s="44"/>
      <c r="R62" s="44"/>
      <c r="S62" s="43">
        <v>29146</v>
      </c>
      <c r="T62" s="43">
        <v>39370</v>
      </c>
      <c r="U62" s="44">
        <v>23200</v>
      </c>
      <c r="V62" s="44">
        <v>39098</v>
      </c>
      <c r="W62" s="44">
        <v>62360</v>
      </c>
      <c r="X62" s="44">
        <v>60458</v>
      </c>
      <c r="AD62" s="10"/>
      <c r="AE62" s="10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</row>
    <row r="63" spans="1:51" x14ac:dyDescent="0.3">
      <c r="A63" s="9"/>
      <c r="B63" s="9"/>
      <c r="C63" t="s">
        <v>54</v>
      </c>
      <c r="D63" s="44">
        <v>2524</v>
      </c>
      <c r="E63" s="44">
        <v>2623</v>
      </c>
      <c r="F63" s="44">
        <v>2858</v>
      </c>
      <c r="G63" s="44">
        <v>3172</v>
      </c>
      <c r="H63" s="44">
        <v>3374</v>
      </c>
      <c r="I63" s="44">
        <v>3637</v>
      </c>
      <c r="J63" s="44">
        <v>4027</v>
      </c>
      <c r="K63" s="44">
        <v>4460</v>
      </c>
      <c r="L63" s="43">
        <v>3900</v>
      </c>
      <c r="M63" s="44">
        <v>4342</v>
      </c>
      <c r="N63" s="44">
        <v>4963</v>
      </c>
      <c r="O63" s="44">
        <v>5411</v>
      </c>
      <c r="P63" s="44"/>
      <c r="Q63" s="44"/>
      <c r="R63" s="44"/>
      <c r="S63" s="43">
        <v>6862</v>
      </c>
      <c r="T63" s="43">
        <v>7967</v>
      </c>
      <c r="U63" s="44">
        <v>8686</v>
      </c>
      <c r="V63" s="44">
        <v>11178</v>
      </c>
      <c r="W63" s="44">
        <v>15498</v>
      </c>
      <c r="X63" s="44">
        <v>18616</v>
      </c>
      <c r="AD63" s="10"/>
      <c r="AE63" s="10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</row>
    <row r="64" spans="1:51" x14ac:dyDescent="0.3">
      <c r="A64" s="9"/>
      <c r="B64" s="9"/>
      <c r="C64" t="s">
        <v>39</v>
      </c>
      <c r="D64" s="44">
        <v>3051</v>
      </c>
      <c r="E64" s="44">
        <f>4060</f>
        <v>4060</v>
      </c>
      <c r="F64" s="44">
        <v>3492</v>
      </c>
      <c r="G64" s="44">
        <v>3424</v>
      </c>
      <c r="H64" s="44">
        <v>3562</v>
      </c>
      <c r="I64" s="44">
        <v>4616</v>
      </c>
      <c r="J64" s="44">
        <v>4250</v>
      </c>
      <c r="K64" s="44">
        <v>4262</v>
      </c>
      <c r="L64" s="43">
        <v>4147</v>
      </c>
      <c r="M64" s="44">
        <v>4834</v>
      </c>
      <c r="N64" s="44">
        <v>5555</v>
      </c>
      <c r="O64" s="44">
        <v>5890</v>
      </c>
      <c r="P64" s="44"/>
      <c r="Q64" s="44"/>
      <c r="R64" s="44"/>
      <c r="S64" s="43">
        <v>6536</v>
      </c>
      <c r="T64" s="43">
        <v>9164</v>
      </c>
      <c r="U64" s="44">
        <v>11992</v>
      </c>
      <c r="V64" s="44">
        <v>14027</v>
      </c>
      <c r="W64" s="44">
        <v>16690</v>
      </c>
      <c r="X64" s="44">
        <v>20427</v>
      </c>
      <c r="AD64" s="10"/>
      <c r="AE64" s="10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</row>
    <row r="65" spans="1:51" x14ac:dyDescent="0.3">
      <c r="A65" s="9"/>
      <c r="B65" s="9"/>
      <c r="C65" t="s">
        <v>111</v>
      </c>
      <c r="D65" s="44">
        <f>-620</f>
        <v>-620</v>
      </c>
      <c r="E65" s="44">
        <v>-1137</v>
      </c>
      <c r="F65" s="44">
        <v>3049</v>
      </c>
      <c r="G65" s="44">
        <v>-1161</v>
      </c>
      <c r="H65" s="44">
        <v>-456</v>
      </c>
      <c r="I65" s="44">
        <v>-1643</v>
      </c>
      <c r="J65" s="44">
        <f>-1308</f>
        <v>-1308</v>
      </c>
      <c r="K65" s="44">
        <v>-1332</v>
      </c>
      <c r="L65" s="43">
        <v>-993</v>
      </c>
      <c r="M65" s="44">
        <v>-1170</v>
      </c>
      <c r="N65" s="44">
        <v>19868</v>
      </c>
      <c r="O65" s="44">
        <v>1033</v>
      </c>
      <c r="P65" s="44"/>
      <c r="Q65" s="44"/>
      <c r="R65" s="44"/>
      <c r="S65" s="43">
        <v>-1192</v>
      </c>
      <c r="T65" s="43">
        <v>609</v>
      </c>
      <c r="U65" s="44">
        <f>-3286</f>
        <v>-3286</v>
      </c>
      <c r="V65" s="44">
        <v>131</v>
      </c>
      <c r="W65" s="44">
        <v>-4738</v>
      </c>
      <c r="X65" s="44">
        <v>18738</v>
      </c>
      <c r="AD65" s="10"/>
      <c r="AE65" s="10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</row>
    <row r="66" spans="1:51" x14ac:dyDescent="0.3">
      <c r="A66" s="9"/>
      <c r="B66" s="9"/>
      <c r="C66" t="s">
        <v>112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2</v>
      </c>
      <c r="L66" s="43">
        <v>0</v>
      </c>
      <c r="M66" s="44">
        <v>511</v>
      </c>
      <c r="N66" s="44">
        <v>-922</v>
      </c>
      <c r="O66" s="44">
        <v>-496</v>
      </c>
      <c r="P66" s="44"/>
      <c r="Q66" s="44"/>
      <c r="R66" s="44"/>
      <c r="S66" s="43">
        <v>0</v>
      </c>
      <c r="T66" s="43">
        <v>0</v>
      </c>
      <c r="U66" s="44">
        <f>2218+1341</f>
        <v>3559</v>
      </c>
      <c r="V66" s="44">
        <f>2432-224</f>
        <v>2208</v>
      </c>
      <c r="W66" s="44">
        <f>-53+383</f>
        <v>330</v>
      </c>
      <c r="X66" s="44">
        <v>-1138</v>
      </c>
      <c r="AD66" s="10"/>
      <c r="AE66" s="10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</row>
    <row r="67" spans="1:51" x14ac:dyDescent="0.3">
      <c r="A67" s="9"/>
      <c r="B67" s="9"/>
      <c r="C67" t="s">
        <v>40</v>
      </c>
      <c r="D67" s="44">
        <f>770-7</f>
        <v>763</v>
      </c>
      <c r="E67" s="44">
        <f>212+232</f>
        <v>444</v>
      </c>
      <c r="F67" s="44">
        <f>340+75</f>
        <v>415</v>
      </c>
      <c r="G67" s="44">
        <f>124+1091+7</f>
        <v>1222</v>
      </c>
      <c r="H67" s="44">
        <v>174</v>
      </c>
      <c r="I67" s="44">
        <v>35</v>
      </c>
      <c r="J67" s="44">
        <v>-3</v>
      </c>
      <c r="K67" s="44">
        <v>167</v>
      </c>
      <c r="L67" s="43">
        <v>-231</v>
      </c>
      <c r="M67" s="44">
        <v>-336</v>
      </c>
      <c r="N67" s="44">
        <v>-23</v>
      </c>
      <c r="O67" s="44">
        <v>-56</v>
      </c>
      <c r="P67" s="44"/>
      <c r="Q67" s="44"/>
      <c r="R67" s="44"/>
      <c r="S67" s="43">
        <v>118</v>
      </c>
      <c r="T67" s="43">
        <v>-127</v>
      </c>
      <c r="U67" s="44">
        <v>641</v>
      </c>
      <c r="V67" s="44">
        <v>635</v>
      </c>
      <c r="W67" s="44">
        <v>140</v>
      </c>
      <c r="X67" s="44">
        <v>-416</v>
      </c>
      <c r="AD67" s="10"/>
      <c r="AE67" s="10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</row>
    <row r="68" spans="1:51" x14ac:dyDescent="0.3">
      <c r="A68" s="9"/>
      <c r="B68" s="9"/>
      <c r="C68" t="s">
        <v>127</v>
      </c>
      <c r="D68" s="44">
        <f>2546+821+30-1104-240+334+184</f>
        <v>2571</v>
      </c>
      <c r="E68" s="44">
        <f>-1424-54+37-51-116+5290-151</f>
        <v>3531</v>
      </c>
      <c r="F68" s="44">
        <f>-678-907-36+611+9+78-72</f>
        <v>-995</v>
      </c>
      <c r="G68" s="44">
        <f>-2843+700-111+595+76-350+663</f>
        <v>-1270</v>
      </c>
      <c r="H68" s="44">
        <f>2520+100-94-1112-1274+83</f>
        <v>223</v>
      </c>
      <c r="I68" s="44">
        <f>-1171-84+54+250-497+708</f>
        <v>-740</v>
      </c>
      <c r="J68" s="44">
        <f>143-184-29+667+572+901</f>
        <v>2070</v>
      </c>
      <c r="K68" s="44">
        <f>-2978-530-200+568+1523+1114</f>
        <v>-503</v>
      </c>
      <c r="L68" s="43">
        <f>2804+360-52-1034-2231+712</f>
        <v>559</v>
      </c>
      <c r="M68" s="44">
        <f>-1338+326-190+460-1107+892</f>
        <v>-957</v>
      </c>
      <c r="N68" s="44">
        <f>-807-1033+33-63+455-736</f>
        <v>-2151</v>
      </c>
      <c r="O68" s="44">
        <f>-2475+259-272+623+3960-431</f>
        <v>1664</v>
      </c>
      <c r="P68" s="44"/>
      <c r="Q68" s="44"/>
      <c r="R68" s="44"/>
      <c r="S68" s="43">
        <f>-1512+135-34-17+178-1054+108-527</f>
        <v>-2723</v>
      </c>
      <c r="T68" s="43">
        <f>-3110-1750-349+1436-12+3357+187+941</f>
        <v>700</v>
      </c>
      <c r="U68" s="43">
        <f>231+162-106+210+90+4210+886</f>
        <v>5683</v>
      </c>
      <c r="V68" s="43">
        <f>-2399+559-80+51-271+5352+624</f>
        <v>3836</v>
      </c>
      <c r="W68" s="43">
        <f>-1485-698-270+373+323+2805</f>
        <v>1048</v>
      </c>
      <c r="X68" s="44">
        <f>-1815-89-481-14+1077+437</f>
        <v>-885</v>
      </c>
      <c r="Y68" s="1">
        <f>Y69-X69</f>
        <v>-2009.6500000000015</v>
      </c>
      <c r="Z68" s="1">
        <f t="shared" ref="Z68:AC68" si="40">Z69-Y69</f>
        <v>-1808.6849999999977</v>
      </c>
      <c r="AA68" s="1">
        <f t="shared" si="40"/>
        <v>-1386.6585000000014</v>
      </c>
      <c r="AB68" s="1">
        <f t="shared" si="40"/>
        <v>-1220.2594800000006</v>
      </c>
      <c r="AC68" s="1">
        <f t="shared" si="40"/>
        <v>-988.41017880000072</v>
      </c>
      <c r="AD68" s="10"/>
      <c r="AE68" s="10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</row>
    <row r="69" spans="1:51" x14ac:dyDescent="0.3">
      <c r="A69" s="9"/>
      <c r="B69" s="9"/>
      <c r="C69" t="s">
        <v>124</v>
      </c>
      <c r="D69" s="44"/>
      <c r="E69" s="44"/>
      <c r="F69" s="44"/>
      <c r="G69" s="44"/>
      <c r="H69" s="44"/>
      <c r="I69" s="44"/>
      <c r="J69" s="44"/>
      <c r="K69" s="44"/>
      <c r="L69" s="43"/>
      <c r="M69" s="44"/>
      <c r="N69" s="44"/>
      <c r="O69" s="44"/>
      <c r="P69" s="44"/>
      <c r="Q69" s="44"/>
      <c r="R69" s="44"/>
      <c r="S69" s="54"/>
      <c r="T69" s="54"/>
      <c r="U69" s="54"/>
      <c r="V69" s="54"/>
      <c r="W69" s="54"/>
      <c r="X69" s="54">
        <f>X17*-0.05</f>
        <v>-10048.25</v>
      </c>
      <c r="Y69" s="54">
        <f t="shared" ref="Y69:AC69" si="41">Y17*-0.05</f>
        <v>-12057.900000000001</v>
      </c>
      <c r="Z69" s="54">
        <f t="shared" si="41"/>
        <v>-13866.584999999999</v>
      </c>
      <c r="AA69" s="54">
        <f t="shared" si="41"/>
        <v>-15253.2435</v>
      </c>
      <c r="AB69" s="54">
        <f t="shared" si="41"/>
        <v>-16473.502980000001</v>
      </c>
      <c r="AC69" s="54">
        <f t="shared" si="41"/>
        <v>-17461.913158800002</v>
      </c>
      <c r="AD69" s="10"/>
      <c r="AE69" s="10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</row>
    <row r="70" spans="1:51" x14ac:dyDescent="0.3">
      <c r="A70" s="9"/>
      <c r="B70" s="9"/>
      <c r="C70" t="s">
        <v>41</v>
      </c>
      <c r="D70" s="43">
        <f t="shared" ref="D70:O70" si="42">SUM(D62:D68)</f>
        <v>13998</v>
      </c>
      <c r="E70" s="43">
        <f t="shared" si="42"/>
        <v>17309</v>
      </c>
      <c r="F70" s="43">
        <f t="shared" si="42"/>
        <v>20402</v>
      </c>
      <c r="G70" s="43">
        <f t="shared" si="42"/>
        <v>19404</v>
      </c>
      <c r="H70" s="43">
        <f t="shared" si="42"/>
        <v>19246</v>
      </c>
      <c r="I70" s="43">
        <f t="shared" si="42"/>
        <v>19370</v>
      </c>
      <c r="J70" s="43">
        <f t="shared" si="42"/>
        <v>24724</v>
      </c>
      <c r="K70" s="43">
        <f t="shared" si="42"/>
        <v>27894</v>
      </c>
      <c r="L70" s="43">
        <f t="shared" si="42"/>
        <v>24026</v>
      </c>
      <c r="M70" s="43">
        <f t="shared" si="42"/>
        <v>25561</v>
      </c>
      <c r="N70" s="43">
        <f t="shared" si="42"/>
        <v>29999</v>
      </c>
      <c r="O70" s="43">
        <f t="shared" si="42"/>
        <v>36214</v>
      </c>
      <c r="P70" s="43"/>
      <c r="Q70" s="43"/>
      <c r="R70" s="44"/>
      <c r="S70" s="43">
        <f t="shared" ref="S70:X70" si="43">SUM(S62:S68)</f>
        <v>38747</v>
      </c>
      <c r="T70" s="43">
        <f t="shared" si="43"/>
        <v>57683</v>
      </c>
      <c r="U70" s="43">
        <f t="shared" si="43"/>
        <v>50475</v>
      </c>
      <c r="V70" s="43">
        <f t="shared" si="43"/>
        <v>71113</v>
      </c>
      <c r="W70" s="43">
        <f t="shared" si="43"/>
        <v>91328</v>
      </c>
      <c r="X70" s="43">
        <f t="shared" si="43"/>
        <v>115800</v>
      </c>
      <c r="AD70" s="10"/>
      <c r="AE70" s="10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</row>
    <row r="71" spans="1:51" x14ac:dyDescent="0.3">
      <c r="A71" s="9"/>
      <c r="B71" s="9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4"/>
      <c r="S71" s="53"/>
      <c r="T71" s="53"/>
      <c r="U71" s="53"/>
      <c r="V71" s="53"/>
      <c r="W71" s="53"/>
      <c r="X71" s="53"/>
      <c r="AD71" s="10"/>
      <c r="AE71" s="10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</row>
    <row r="72" spans="1:51" x14ac:dyDescent="0.3">
      <c r="A72" s="9"/>
      <c r="B72" s="9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4"/>
      <c r="S72" s="43"/>
      <c r="T72" s="43"/>
      <c r="U72" s="43"/>
      <c r="V72" s="43"/>
      <c r="W72" s="43"/>
      <c r="X72" s="43"/>
      <c r="AD72" s="10"/>
      <c r="AE72" s="10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</row>
    <row r="73" spans="1:51" x14ac:dyDescent="0.3">
      <c r="A73" s="48" t="s">
        <v>40</v>
      </c>
      <c r="B73" s="9"/>
      <c r="C73" t="s">
        <v>57</v>
      </c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4"/>
      <c r="S73" s="1">
        <v>15715</v>
      </c>
      <c r="T73" s="1">
        <v>19239</v>
      </c>
      <c r="U73" s="1">
        <v>32040</v>
      </c>
      <c r="V73" s="1">
        <v>28102</v>
      </c>
      <c r="W73" s="1">
        <v>39230</v>
      </c>
      <c r="X73" s="1">
        <v>72220</v>
      </c>
      <c r="AD73" s="10"/>
      <c r="AE73" s="10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</row>
    <row r="74" spans="1:51" x14ac:dyDescent="0.3">
      <c r="A74" s="9"/>
      <c r="B74" s="9"/>
      <c r="C74" t="s">
        <v>123</v>
      </c>
      <c r="D74" s="45"/>
      <c r="E74" s="45"/>
      <c r="F74" s="45"/>
      <c r="G74" s="45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>
        <v>58604</v>
      </c>
      <c r="T74" s="44">
        <v>71970</v>
      </c>
      <c r="U74" s="44">
        <v>86482</v>
      </c>
      <c r="V74" s="44">
        <v>67317</v>
      </c>
      <c r="W74" s="44">
        <v>74067</v>
      </c>
      <c r="X74" s="44">
        <v>78865</v>
      </c>
      <c r="AD74" s="10"/>
      <c r="AE74" s="10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</row>
    <row r="75" spans="1:51" x14ac:dyDescent="0.3">
      <c r="A75" s="9"/>
      <c r="B75" s="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AD75" s="10"/>
      <c r="AE75" s="10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</row>
    <row r="76" spans="1:51" x14ac:dyDescent="0.3">
      <c r="A76" s="9"/>
      <c r="B76" s="9"/>
      <c r="G76" s="1"/>
      <c r="K76" s="1"/>
      <c r="L76" s="31"/>
      <c r="R76" s="1"/>
      <c r="AD76" s="10"/>
      <c r="AE76" s="10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</row>
    <row r="77" spans="1:51" ht="6.75" customHeight="1" x14ac:dyDescent="0.3">
      <c r="A77" s="9"/>
      <c r="B77" s="9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7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</row>
    <row r="78" spans="1:51" x14ac:dyDescent="0.3">
      <c r="A78" s="9"/>
      <c r="B78" s="9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9"/>
      <c r="AE78" s="15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</row>
    <row r="79" spans="1:51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</row>
    <row r="80" spans="1:5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</row>
    <row r="81" spans="1:5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</row>
    <row r="82" spans="1:5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</row>
    <row r="83" spans="1:51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</row>
    <row r="84" spans="1:5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</row>
    <row r="85" spans="1:5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</row>
    <row r="86" spans="1:51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</row>
    <row r="87" spans="1:51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</row>
    <row r="88" spans="1:51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</row>
    <row r="89" spans="1:51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</row>
    <row r="90" spans="1:5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</row>
    <row r="91" spans="1:51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</row>
    <row r="92" spans="1:51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</row>
    <row r="93" spans="1:51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</row>
    <row r="94" spans="1:5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</row>
    <row r="95" spans="1:51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</row>
    <row r="96" spans="1:51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</row>
    <row r="97" spans="1:5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</row>
    <row r="98" spans="1:51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</row>
    <row r="99" spans="1:5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</row>
    <row r="100" spans="1:51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</row>
    <row r="101" spans="1:51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</row>
    <row r="102" spans="1:51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</row>
    <row r="103" spans="1:51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</row>
    <row r="104" spans="1:5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</row>
    <row r="105" spans="1:51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</row>
    <row r="106" spans="1:51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</row>
    <row r="107" spans="1:5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</row>
    <row r="108" spans="1:51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</row>
    <row r="109" spans="1:51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</row>
    <row r="110" spans="1:51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</row>
    <row r="111" spans="1:51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</row>
    <row r="112" spans="1:51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</row>
    <row r="113" spans="1:51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</row>
    <row r="114" spans="1:51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</row>
    <row r="115" spans="1:51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</row>
    <row r="116" spans="1:51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</row>
    <row r="117" spans="1:51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</row>
    <row r="118" spans="1:51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</row>
    <row r="119" spans="1:51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</row>
    <row r="120" spans="1:51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</row>
    <row r="121" spans="1:51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</row>
    <row r="122" spans="1:51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</row>
    <row r="123" spans="1:51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</row>
    <row r="124" spans="1:51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</row>
    <row r="125" spans="1:51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</row>
    <row r="126" spans="1:51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</row>
    <row r="127" spans="1:51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</row>
    <row r="128" spans="1:51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</row>
    <row r="129" spans="1:51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</row>
    <row r="130" spans="1:51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</row>
    <row r="131" spans="1:51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</row>
    <row r="132" spans="1:51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</row>
    <row r="133" spans="1:51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</row>
    <row r="134" spans="1:51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</row>
    <row r="135" spans="1:51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</row>
    <row r="136" spans="1:51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</row>
    <row r="137" spans="1:51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</row>
    <row r="138" spans="1:51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</row>
    <row r="139" spans="1:51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</row>
    <row r="140" spans="1:51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</row>
    <row r="141" spans="1:51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</row>
    <row r="142" spans="1:51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</row>
    <row r="143" spans="1:51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</row>
    <row r="144" spans="1:5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</row>
    <row r="145" spans="1:51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</row>
    <row r="146" spans="1:51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</row>
    <row r="147" spans="1:51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</row>
    <row r="148" spans="1:51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</row>
    <row r="149" spans="1:51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</row>
    <row r="150" spans="1:51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</row>
    <row r="151" spans="1:51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</row>
    <row r="152" spans="1:51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</row>
    <row r="153" spans="1:51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</row>
    <row r="154" spans="1:51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</row>
    <row r="155" spans="1:51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</row>
    <row r="156" spans="1:51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</row>
    <row r="157" spans="1:51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</row>
    <row r="158" spans="1:51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</row>
    <row r="159" spans="1:51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</row>
    <row r="160" spans="1:51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</row>
    <row r="161" spans="1:51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</row>
    <row r="162" spans="1:51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</row>
    <row r="163" spans="1:51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</row>
    <row r="164" spans="1:51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</row>
    <row r="165" spans="1:51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</row>
    <row r="166" spans="1:51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</row>
    <row r="167" spans="1:51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</row>
    <row r="168" spans="1:51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</row>
    <row r="169" spans="1:51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</row>
    <row r="170" spans="1:51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</row>
    <row r="171" spans="1:51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</row>
    <row r="172" spans="1:51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</row>
    <row r="173" spans="1:51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</row>
    <row r="174" spans="1:51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</row>
    <row r="175" spans="1:51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</row>
    <row r="176" spans="1:51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</row>
    <row r="177" spans="1:51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</row>
    <row r="178" spans="1:51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</row>
    <row r="179" spans="1:51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</row>
    <row r="180" spans="1:51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</row>
    <row r="181" spans="1:51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</row>
    <row r="182" spans="1:51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</row>
    <row r="183" spans="1:51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</row>
    <row r="184" spans="1:51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</row>
    <row r="185" spans="1:51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</row>
    <row r="186" spans="1:51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</row>
    <row r="187" spans="1:51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</row>
    <row r="188" spans="1:51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</row>
    <row r="189" spans="1:51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</row>
    <row r="190" spans="1:51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</row>
    <row r="191" spans="1:51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</row>
    <row r="192" spans="1:51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</row>
    <row r="193" spans="1:51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</row>
    <row r="194" spans="1:51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</row>
    <row r="195" spans="1:51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</row>
    <row r="196" spans="1:51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</row>
    <row r="197" spans="1:51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</row>
    <row r="198" spans="1:51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</row>
    <row r="199" spans="1:51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</row>
    <row r="200" spans="1:51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</row>
    <row r="201" spans="1:51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</row>
    <row r="202" spans="1:51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</row>
    <row r="203" spans="1:51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</row>
    <row r="204" spans="1:51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</row>
    <row r="205" spans="1:51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</row>
    <row r="206" spans="1:51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</row>
    <row r="207" spans="1:51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</row>
    <row r="208" spans="1:51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</row>
    <row r="209" spans="1:51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</row>
    <row r="210" spans="1:51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</row>
    <row r="211" spans="1:51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</row>
    <row r="212" spans="1:51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</row>
    <row r="213" spans="1:51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</row>
    <row r="214" spans="1:51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</row>
    <row r="215" spans="1:51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</row>
    <row r="216" spans="1:51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</row>
    <row r="217" spans="1:51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</row>
    <row r="218" spans="1:51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</row>
    <row r="219" spans="1:51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</row>
    <row r="220" spans="1:51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</row>
    <row r="221" spans="1:51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</row>
    <row r="222" spans="1:51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</row>
    <row r="223" spans="1:51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</row>
    <row r="224" spans="1:51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</row>
    <row r="225" spans="1:51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</row>
  </sheetData>
  <pageMargins left="0.7" right="0.7" top="0.75" bottom="0.75" header="0.3" footer="0.3"/>
  <ignoredErrors>
    <ignoredError sqref="V17:X17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2483-5830-46A3-B1E7-51A55C6C9778}">
  <dimension ref="A1:BX183"/>
  <sheetViews>
    <sheetView workbookViewId="0">
      <selection activeCell="S27" sqref="S27"/>
    </sheetView>
  </sheetViews>
  <sheetFormatPr defaultRowHeight="14.4" x14ac:dyDescent="0.3"/>
  <cols>
    <col min="3" max="3" width="22.6640625" customWidth="1"/>
    <col min="4" max="4" width="9.6640625" hidden="1" customWidth="1"/>
    <col min="5" max="11" width="9.6640625" customWidth="1"/>
    <col min="12" max="12" width="1.5546875" customWidth="1"/>
    <col min="13" max="13" width="1" customWidth="1"/>
  </cols>
  <sheetData>
    <row r="1" spans="1:76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0"/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</row>
    <row r="2" spans="1:76" x14ac:dyDescent="0.3">
      <c r="A2" s="62" t="s">
        <v>117</v>
      </c>
      <c r="B2" s="61"/>
      <c r="L2" s="10"/>
      <c r="M2" s="10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</row>
    <row r="3" spans="1:76" x14ac:dyDescent="0.3">
      <c r="A3" s="61"/>
      <c r="B3" s="61"/>
      <c r="L3" s="10"/>
      <c r="M3" s="10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</row>
    <row r="4" spans="1:76" x14ac:dyDescent="0.3">
      <c r="A4" s="61"/>
      <c r="B4" s="61"/>
      <c r="L4" s="10"/>
      <c r="M4" s="10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</row>
    <row r="5" spans="1:76" x14ac:dyDescent="0.3">
      <c r="A5" s="15"/>
      <c r="B5" s="9"/>
      <c r="C5" s="25"/>
      <c r="G5" s="28"/>
      <c r="H5" s="28"/>
      <c r="I5" s="28"/>
      <c r="L5" s="10"/>
      <c r="M5" s="10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</row>
    <row r="6" spans="1:76" x14ac:dyDescent="0.3">
      <c r="A6" s="19"/>
      <c r="B6" s="9"/>
      <c r="E6" s="19"/>
      <c r="F6" s="19"/>
      <c r="G6" s="19"/>
      <c r="H6" s="19"/>
      <c r="I6" s="19"/>
      <c r="J6" s="19"/>
      <c r="L6" s="10"/>
      <c r="M6" s="10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</row>
    <row r="7" spans="1:76" x14ac:dyDescent="0.3">
      <c r="A7" s="12"/>
      <c r="B7" s="12"/>
      <c r="C7" s="12" t="s">
        <v>137</v>
      </c>
      <c r="D7" s="12"/>
      <c r="E7" s="12"/>
      <c r="F7" s="12"/>
      <c r="G7" s="12"/>
      <c r="H7" s="12"/>
      <c r="I7" s="12"/>
      <c r="J7" s="12" t="s">
        <v>119</v>
      </c>
      <c r="K7" s="12"/>
      <c r="L7" s="10"/>
      <c r="M7" s="10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</row>
    <row r="8" spans="1:76" x14ac:dyDescent="0.3">
      <c r="A8" s="9"/>
      <c r="B8" s="9"/>
      <c r="D8" s="25" t="s">
        <v>128</v>
      </c>
      <c r="E8" s="25" t="s">
        <v>19</v>
      </c>
      <c r="F8" s="25" t="s">
        <v>49</v>
      </c>
      <c r="G8" s="25" t="s">
        <v>50</v>
      </c>
      <c r="H8" s="25" t="s">
        <v>66</v>
      </c>
      <c r="I8" s="25" t="s">
        <v>67</v>
      </c>
      <c r="J8" s="25"/>
      <c r="K8" s="25"/>
      <c r="L8" s="10"/>
      <c r="M8" s="10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</row>
    <row r="9" spans="1:76" x14ac:dyDescent="0.3">
      <c r="A9" s="64"/>
      <c r="B9" s="9"/>
      <c r="D9" s="25"/>
      <c r="E9" s="28"/>
      <c r="L9" s="10"/>
      <c r="M9" s="10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</row>
    <row r="10" spans="1:76" x14ac:dyDescent="0.3">
      <c r="A10" s="18" t="s">
        <v>138</v>
      </c>
      <c r="B10" s="9"/>
      <c r="C10" t="s">
        <v>8</v>
      </c>
      <c r="D10" s="25"/>
      <c r="E10" s="57">
        <f>'Working Model'!X17*(1+Inputs!E11)</f>
        <v>241158</v>
      </c>
      <c r="F10" s="57">
        <f>E10*(1+F11)</f>
        <v>277331.69999999995</v>
      </c>
      <c r="G10" s="57">
        <f t="shared" ref="G10:I10" si="0">F10*(1+G11)</f>
        <v>305064.87</v>
      </c>
      <c r="H10" s="57">
        <f t="shared" si="0"/>
        <v>329470.05960000004</v>
      </c>
      <c r="I10" s="57">
        <f t="shared" si="0"/>
        <v>349238.26317600004</v>
      </c>
      <c r="L10" s="10"/>
      <c r="M10" s="1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</row>
    <row r="11" spans="1:76" x14ac:dyDescent="0.3">
      <c r="A11" s="64"/>
      <c r="B11" s="9"/>
      <c r="C11" t="s">
        <v>136</v>
      </c>
      <c r="D11" s="25"/>
      <c r="E11" s="58">
        <v>0.2</v>
      </c>
      <c r="F11" s="58">
        <v>0.15</v>
      </c>
      <c r="G11" s="58">
        <v>0.1</v>
      </c>
      <c r="H11" s="58">
        <v>0.08</v>
      </c>
      <c r="I11" s="58">
        <v>0.06</v>
      </c>
      <c r="J11" t="s">
        <v>120</v>
      </c>
      <c r="K11" t="s">
        <v>118</v>
      </c>
      <c r="L11" s="10"/>
      <c r="M11" s="10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</row>
    <row r="12" spans="1:76" x14ac:dyDescent="0.3">
      <c r="A12" s="64"/>
      <c r="B12" s="9"/>
      <c r="D12" s="25"/>
      <c r="E12" s="59"/>
      <c r="F12" s="60"/>
      <c r="G12" s="60"/>
      <c r="H12" s="60"/>
      <c r="I12" s="60"/>
      <c r="L12" s="10"/>
      <c r="M12" s="10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</row>
    <row r="13" spans="1:76" x14ac:dyDescent="0.3">
      <c r="A13" s="64"/>
      <c r="B13" s="9"/>
      <c r="C13" t="s">
        <v>129</v>
      </c>
      <c r="D13" s="4"/>
      <c r="E13" s="4">
        <v>2.5000000000000001E-2</v>
      </c>
      <c r="F13" s="4">
        <f>E13</f>
        <v>2.5000000000000001E-2</v>
      </c>
      <c r="G13" s="4">
        <f t="shared" ref="G13:I13" si="1">F13</f>
        <v>2.5000000000000001E-2</v>
      </c>
      <c r="H13" s="4">
        <f t="shared" si="1"/>
        <v>2.5000000000000001E-2</v>
      </c>
      <c r="I13" s="4">
        <f t="shared" si="1"/>
        <v>2.5000000000000001E-2</v>
      </c>
      <c r="L13" s="10"/>
      <c r="M13" s="10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</row>
    <row r="14" spans="1:76" x14ac:dyDescent="0.3">
      <c r="A14" s="64"/>
      <c r="B14" s="9"/>
      <c r="D14" s="25"/>
      <c r="E14" s="59"/>
      <c r="F14" s="60"/>
      <c r="G14" s="60"/>
      <c r="H14" s="60"/>
      <c r="I14" s="60"/>
      <c r="L14" s="10"/>
      <c r="M14" s="10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</row>
    <row r="15" spans="1:76" x14ac:dyDescent="0.3">
      <c r="A15" s="64" t="s">
        <v>139</v>
      </c>
      <c r="B15" s="9"/>
      <c r="C15" t="s">
        <v>9</v>
      </c>
      <c r="D15" s="25"/>
      <c r="E15" s="58">
        <v>0.25</v>
      </c>
      <c r="F15" s="58"/>
      <c r="G15" s="58"/>
      <c r="H15" s="58"/>
      <c r="I15" s="58"/>
      <c r="J15" t="s">
        <v>132</v>
      </c>
      <c r="K15" t="s">
        <v>118</v>
      </c>
      <c r="L15" s="10"/>
      <c r="M15" s="10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</row>
    <row r="16" spans="1:76" x14ac:dyDescent="0.3">
      <c r="A16" s="64"/>
      <c r="B16" s="9"/>
      <c r="C16" t="s">
        <v>62</v>
      </c>
      <c r="D16" s="25"/>
      <c r="E16" s="58">
        <v>0.3</v>
      </c>
      <c r="J16" t="s">
        <v>133</v>
      </c>
      <c r="K16" t="s">
        <v>118</v>
      </c>
      <c r="L16" s="10"/>
      <c r="M16" s="10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</row>
    <row r="17" spans="1:76" x14ac:dyDescent="0.3">
      <c r="A17" s="64"/>
      <c r="B17" s="9"/>
      <c r="C17" t="s">
        <v>130</v>
      </c>
      <c r="D17" s="25"/>
      <c r="E17" s="58">
        <v>0.12</v>
      </c>
      <c r="J17" t="s">
        <v>134</v>
      </c>
      <c r="K17" t="s">
        <v>118</v>
      </c>
      <c r="L17" s="10"/>
      <c r="M17" s="10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</row>
    <row r="18" spans="1:76" x14ac:dyDescent="0.3">
      <c r="A18" s="64"/>
      <c r="B18" s="9"/>
      <c r="C18" t="s">
        <v>61</v>
      </c>
      <c r="D18" s="25"/>
      <c r="E18" s="58">
        <v>0.15</v>
      </c>
      <c r="J18" s="1" t="s">
        <v>135</v>
      </c>
      <c r="K18" t="s">
        <v>118</v>
      </c>
      <c r="L18" s="10"/>
      <c r="M18" s="10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</row>
    <row r="19" spans="1:76" x14ac:dyDescent="0.3">
      <c r="A19" s="64"/>
      <c r="B19" s="9"/>
      <c r="D19" s="25"/>
      <c r="E19" s="58"/>
      <c r="J19" s="1"/>
      <c r="L19" s="10"/>
      <c r="M19" s="10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</row>
    <row r="20" spans="1:76" x14ac:dyDescent="0.3">
      <c r="A20" s="64" t="s">
        <v>0</v>
      </c>
      <c r="B20" s="9"/>
      <c r="C20" t="s">
        <v>58</v>
      </c>
      <c r="D20" s="25"/>
      <c r="E20" s="63" t="e">
        <f>#REF!</f>
        <v>#REF!</v>
      </c>
      <c r="J20" s="1"/>
      <c r="L20" s="10"/>
      <c r="M20" s="10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</row>
    <row r="21" spans="1:76" x14ac:dyDescent="0.3">
      <c r="A21" s="64"/>
      <c r="B21" s="9"/>
      <c r="C21" t="s">
        <v>113</v>
      </c>
      <c r="D21" s="25"/>
      <c r="E21" s="57">
        <f>'Working Model'!I4</f>
        <v>2565</v>
      </c>
      <c r="J21" s="1"/>
      <c r="L21" s="10"/>
      <c r="M21" s="10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</row>
    <row r="22" spans="1:76" x14ac:dyDescent="0.3">
      <c r="A22" s="64"/>
      <c r="B22" s="9"/>
      <c r="D22" s="25"/>
      <c r="E22" s="58"/>
      <c r="J22" s="1"/>
      <c r="L22" s="10"/>
      <c r="M22" s="10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</row>
    <row r="23" spans="1:76" x14ac:dyDescent="0.3">
      <c r="A23" s="64"/>
      <c r="B23" s="9"/>
      <c r="D23" s="25"/>
      <c r="E23" s="58"/>
      <c r="J23" s="1"/>
      <c r="K23" t="s">
        <v>118</v>
      </c>
      <c r="L23" s="10"/>
      <c r="M23" s="10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</row>
    <row r="24" spans="1:76" x14ac:dyDescent="0.3">
      <c r="A24" s="64" t="s">
        <v>140</v>
      </c>
      <c r="B24" s="9"/>
      <c r="C24" t="s">
        <v>57</v>
      </c>
      <c r="D24" s="1">
        <v>72000</v>
      </c>
      <c r="E24" s="1">
        <v>120000</v>
      </c>
      <c r="F24" s="1">
        <v>100000</v>
      </c>
      <c r="G24" s="1">
        <v>90000</v>
      </c>
      <c r="H24" s="1">
        <v>60000</v>
      </c>
      <c r="I24" s="1">
        <v>45000</v>
      </c>
      <c r="J24" s="4" t="s">
        <v>125</v>
      </c>
      <c r="K24" t="s">
        <v>118</v>
      </c>
      <c r="L24" s="10"/>
      <c r="M24" s="10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</row>
    <row r="25" spans="1:76" x14ac:dyDescent="0.3">
      <c r="A25" s="64"/>
      <c r="B25" s="9"/>
      <c r="C25" t="s">
        <v>54</v>
      </c>
      <c r="D25" s="1">
        <f>'Working Model'!X63</f>
        <v>18616</v>
      </c>
      <c r="E25" s="1">
        <v>30000</v>
      </c>
      <c r="F25" s="1">
        <v>42000</v>
      </c>
      <c r="G25" s="1">
        <v>55000</v>
      </c>
      <c r="H25" s="1">
        <v>65000</v>
      </c>
      <c r="I25" s="1">
        <v>55000</v>
      </c>
      <c r="J25" s="4" t="s">
        <v>126</v>
      </c>
      <c r="K25" t="s">
        <v>118</v>
      </c>
      <c r="L25" s="10"/>
      <c r="M25" s="10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</row>
    <row r="26" spans="1:76" x14ac:dyDescent="0.3">
      <c r="A26" s="64"/>
      <c r="B26" s="9"/>
      <c r="D26" s="25"/>
      <c r="E26" s="58"/>
      <c r="J26" s="1"/>
      <c r="K26" t="s">
        <v>118</v>
      </c>
      <c r="L26" s="10"/>
      <c r="M26" s="10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</row>
    <row r="27" spans="1:76" x14ac:dyDescent="0.3">
      <c r="A27" s="64" t="s">
        <v>144</v>
      </c>
      <c r="B27" s="9"/>
      <c r="C27" t="s">
        <v>141</v>
      </c>
      <c r="D27" s="55"/>
      <c r="E27" s="55">
        <v>14</v>
      </c>
      <c r="J27" t="s">
        <v>143</v>
      </c>
      <c r="K27" t="s">
        <v>118</v>
      </c>
      <c r="L27" s="10"/>
      <c r="M27" s="10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</row>
    <row r="28" spans="1:76" x14ac:dyDescent="0.3">
      <c r="A28" s="9"/>
      <c r="B28" s="9"/>
      <c r="C28" t="s">
        <v>142</v>
      </c>
      <c r="D28" s="4"/>
      <c r="E28" s="4">
        <v>0.05</v>
      </c>
      <c r="J28" s="1"/>
      <c r="L28" s="10"/>
      <c r="M28" s="10"/>
      <c r="N28" s="9"/>
      <c r="O28" s="9"/>
      <c r="P28" s="9" t="s">
        <v>145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</row>
    <row r="29" spans="1:76" x14ac:dyDescent="0.3">
      <c r="A29" s="9"/>
      <c r="B29" s="9"/>
      <c r="D29" s="25"/>
      <c r="E29" s="56"/>
      <c r="L29" s="10"/>
      <c r="M29" s="10"/>
      <c r="N29" s="9"/>
      <c r="O29" s="9"/>
      <c r="P29" s="9" t="s">
        <v>146</v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</row>
    <row r="30" spans="1:76" x14ac:dyDescent="0.3">
      <c r="A30" s="9"/>
      <c r="B30" s="9"/>
      <c r="L30" s="10"/>
      <c r="M30" s="10"/>
      <c r="N30" s="9"/>
      <c r="O30" s="9"/>
      <c r="P30" s="9" t="s">
        <v>147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</row>
    <row r="31" spans="1:76" x14ac:dyDescent="0.3">
      <c r="A31" s="9"/>
      <c r="B31" s="9"/>
      <c r="C31" s="25"/>
      <c r="D31" s="25"/>
      <c r="E31" s="4"/>
      <c r="G31" s="4"/>
      <c r="H31" s="4"/>
      <c r="I31" s="4"/>
      <c r="J31" s="4"/>
      <c r="L31" s="10"/>
      <c r="M31" s="10"/>
      <c r="N31" s="9"/>
      <c r="O31" s="9"/>
      <c r="P31" s="9" t="s">
        <v>148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</row>
    <row r="32" spans="1:76" x14ac:dyDescent="0.3">
      <c r="A32" s="9"/>
      <c r="B32" s="9"/>
      <c r="C32" s="25"/>
      <c r="D32" s="25"/>
      <c r="E32" s="4"/>
      <c r="G32" s="4"/>
      <c r="H32" s="4"/>
      <c r="I32" s="4"/>
      <c r="J32" s="4"/>
      <c r="L32" s="10"/>
      <c r="M32" s="10"/>
      <c r="N32" s="9"/>
      <c r="O32" s="9"/>
      <c r="P32" s="9" t="s">
        <v>149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</row>
    <row r="33" spans="1:76" x14ac:dyDescent="0.3">
      <c r="A33" s="9"/>
      <c r="B33" s="9"/>
      <c r="C33" s="25"/>
      <c r="D33" s="25"/>
      <c r="E33" s="3"/>
      <c r="F33" s="3"/>
      <c r="G33" s="3"/>
      <c r="H33" s="3"/>
      <c r="I33" s="3"/>
      <c r="J33" s="3"/>
      <c r="L33" s="10"/>
      <c r="M33" s="10"/>
      <c r="N33" s="9"/>
      <c r="O33" s="9"/>
      <c r="P33" s="9" t="s">
        <v>150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</row>
    <row r="34" spans="1:76" x14ac:dyDescent="0.3">
      <c r="A34" s="9"/>
      <c r="B34" s="9"/>
      <c r="L34" s="10"/>
      <c r="M34" s="10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</row>
    <row r="35" spans="1:76" ht="4.8" customHeight="1" x14ac:dyDescent="0.3">
      <c r="A35" s="9"/>
      <c r="B35" s="9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</row>
    <row r="36" spans="1:76" x14ac:dyDescent="0.3">
      <c r="A36" s="9"/>
      <c r="B36" s="9"/>
      <c r="C36" s="15"/>
      <c r="D36" s="15"/>
      <c r="E36" s="15"/>
      <c r="F36" s="15"/>
      <c r="G36" s="15"/>
      <c r="H36" s="15"/>
      <c r="I36" s="15"/>
      <c r="J36" s="15"/>
      <c r="K36" s="15"/>
      <c r="L36" s="9"/>
      <c r="M36" s="15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</row>
    <row r="37" spans="1:76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</row>
    <row r="38" spans="1:76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</row>
    <row r="39" spans="1:76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</row>
    <row r="40" spans="1:76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</row>
    <row r="41" spans="1:76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</row>
    <row r="42" spans="1:76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</row>
    <row r="43" spans="1:76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</row>
    <row r="44" spans="1:76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</row>
    <row r="45" spans="1:76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</row>
    <row r="46" spans="1:76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</row>
    <row r="47" spans="1:76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</row>
    <row r="48" spans="1:76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</row>
    <row r="49" spans="1:76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</row>
    <row r="50" spans="1:76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</row>
    <row r="51" spans="1:76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</row>
    <row r="52" spans="1:76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</row>
    <row r="53" spans="1:76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</row>
    <row r="54" spans="1:76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</row>
    <row r="55" spans="1:76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</row>
    <row r="56" spans="1:76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</row>
    <row r="57" spans="1:76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</row>
    <row r="58" spans="1:76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</row>
    <row r="59" spans="1:76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</row>
    <row r="60" spans="1:76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</row>
    <row r="61" spans="1:76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</row>
    <row r="62" spans="1:76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</row>
    <row r="63" spans="1:76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</row>
    <row r="64" spans="1:76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</row>
    <row r="65" spans="1:76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</row>
    <row r="66" spans="1:76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</row>
    <row r="67" spans="1:76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</row>
    <row r="68" spans="1:76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</row>
    <row r="69" spans="1:76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</row>
    <row r="70" spans="1:76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</row>
    <row r="71" spans="1:76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</row>
    <row r="72" spans="1:76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</row>
    <row r="73" spans="1:76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</row>
    <row r="74" spans="1:76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</row>
    <row r="75" spans="1:76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</row>
    <row r="76" spans="1:76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</row>
    <row r="77" spans="1:76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</row>
    <row r="78" spans="1:76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</row>
    <row r="79" spans="1:76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</row>
    <row r="80" spans="1:76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</row>
    <row r="81" spans="1:76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</row>
    <row r="82" spans="1:76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</row>
    <row r="83" spans="1:76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</row>
    <row r="84" spans="1:76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</row>
    <row r="85" spans="1:76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</row>
    <row r="86" spans="1:76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</row>
    <row r="87" spans="1:76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</row>
    <row r="88" spans="1:76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</row>
    <row r="89" spans="1:76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</row>
    <row r="90" spans="1:76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</row>
    <row r="91" spans="1:76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</row>
    <row r="92" spans="1:76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</row>
    <row r="93" spans="1:76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</row>
    <row r="94" spans="1:76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</row>
    <row r="95" spans="1:76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</row>
    <row r="96" spans="1:76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</row>
    <row r="97" spans="1:76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</row>
    <row r="98" spans="1:76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</row>
    <row r="99" spans="1:76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</row>
    <row r="100" spans="1:76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</row>
    <row r="101" spans="1:76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</row>
    <row r="102" spans="1:76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</row>
    <row r="103" spans="1:76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</row>
    <row r="104" spans="1:76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</row>
    <row r="105" spans="1:76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</row>
    <row r="106" spans="1:76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</row>
    <row r="107" spans="1:76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</row>
    <row r="108" spans="1:76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</row>
    <row r="109" spans="1:76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</row>
    <row r="110" spans="1:76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</row>
    <row r="111" spans="1:76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</row>
    <row r="112" spans="1:76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</row>
    <row r="113" spans="1:76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</row>
    <row r="114" spans="1:76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</row>
    <row r="115" spans="1:76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</row>
    <row r="116" spans="1:76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</row>
    <row r="117" spans="1:76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</row>
    <row r="118" spans="1:76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</row>
    <row r="119" spans="1:76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</row>
    <row r="120" spans="1:76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</row>
    <row r="121" spans="1:76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</row>
    <row r="122" spans="1:76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</row>
    <row r="123" spans="1:76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</row>
    <row r="124" spans="1:76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</row>
    <row r="125" spans="1:76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</row>
    <row r="126" spans="1:76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</row>
    <row r="127" spans="1:76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</row>
    <row r="128" spans="1:76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</row>
    <row r="129" spans="1:76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</row>
    <row r="130" spans="1:76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</row>
    <row r="131" spans="1:76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</row>
    <row r="132" spans="1:76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</row>
    <row r="133" spans="1:76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</row>
    <row r="134" spans="1:76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</row>
    <row r="135" spans="1:76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</row>
    <row r="136" spans="1:76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</row>
    <row r="137" spans="1:76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</row>
    <row r="138" spans="1:76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</row>
    <row r="139" spans="1:76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</row>
    <row r="140" spans="1:76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</row>
    <row r="141" spans="1:76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</row>
    <row r="142" spans="1:76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</row>
    <row r="143" spans="1:76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</row>
    <row r="144" spans="1:76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</row>
    <row r="145" spans="1:76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</row>
    <row r="146" spans="1:76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</row>
    <row r="147" spans="1:76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</row>
    <row r="148" spans="1:76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</row>
    <row r="149" spans="1:76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</row>
    <row r="150" spans="1:76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</row>
    <row r="151" spans="1:76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</row>
    <row r="152" spans="1:76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</row>
    <row r="153" spans="1:76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</row>
    <row r="154" spans="1:76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</row>
    <row r="155" spans="1:76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</row>
    <row r="156" spans="1:76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</row>
    <row r="157" spans="1:76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</row>
    <row r="158" spans="1:76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</row>
    <row r="159" spans="1:76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</row>
    <row r="160" spans="1:76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</row>
    <row r="161" spans="1:76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</row>
    <row r="162" spans="1:76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</row>
    <row r="163" spans="1:76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</row>
    <row r="164" spans="1:76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</row>
    <row r="165" spans="1:76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</row>
    <row r="166" spans="1:76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</row>
    <row r="167" spans="1:76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</row>
    <row r="168" spans="1:76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</row>
    <row r="169" spans="1:76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</row>
    <row r="170" spans="1:76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</row>
    <row r="171" spans="1:76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</row>
    <row r="172" spans="1:76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</row>
    <row r="173" spans="1:76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</row>
    <row r="174" spans="1:76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</row>
    <row r="175" spans="1:76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</row>
    <row r="176" spans="1:76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</row>
    <row r="177" spans="1:76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</row>
    <row r="178" spans="1:76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</row>
    <row r="179" spans="1:76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</row>
    <row r="180" spans="1:76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</row>
    <row r="181" spans="1:76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</row>
    <row r="182" spans="1:76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</row>
    <row r="183" spans="1:76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</row>
  </sheetData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9312F-8D15-47E6-A6D2-1EA20556F735}">
  <dimension ref="A1:BX164"/>
  <sheetViews>
    <sheetView workbookViewId="0">
      <selection activeCell="I28" sqref="I28"/>
    </sheetView>
  </sheetViews>
  <sheetFormatPr defaultRowHeight="14.4" x14ac:dyDescent="0.3"/>
  <cols>
    <col min="3" max="3" width="10" customWidth="1"/>
    <col min="5" max="5" width="10.109375" bestFit="1" customWidth="1"/>
    <col min="6" max="8" width="10.109375" customWidth="1"/>
    <col min="9" max="9" width="10.109375" bestFit="1" customWidth="1"/>
    <col min="10" max="11" width="10.109375" customWidth="1"/>
    <col min="12" max="12" width="1.5546875" customWidth="1"/>
    <col min="13" max="13" width="1" customWidth="1"/>
  </cols>
  <sheetData>
    <row r="1" spans="1:76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0"/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</row>
    <row r="2" spans="1:76" x14ac:dyDescent="0.3">
      <c r="A2" s="14" t="s">
        <v>114</v>
      </c>
      <c r="B2" s="9"/>
      <c r="L2" s="10"/>
      <c r="M2" s="10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</row>
    <row r="3" spans="1:76" x14ac:dyDescent="0.3">
      <c r="A3" s="9"/>
      <c r="B3" s="9"/>
      <c r="C3" s="25"/>
      <c r="L3" s="10"/>
      <c r="M3" s="10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</row>
    <row r="4" spans="1:76" x14ac:dyDescent="0.3">
      <c r="A4" s="19"/>
      <c r="B4" s="9"/>
      <c r="E4" s="19"/>
      <c r="F4" s="19"/>
      <c r="G4" s="19"/>
      <c r="H4" s="19"/>
      <c r="L4" s="10"/>
      <c r="M4" s="10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</row>
    <row r="5" spans="1:76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0"/>
      <c r="M5" s="10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</row>
    <row r="6" spans="1:76" x14ac:dyDescent="0.3">
      <c r="A6" s="9"/>
      <c r="B6" s="9"/>
      <c r="L6" s="10"/>
      <c r="M6" s="10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</row>
    <row r="7" spans="1:76" x14ac:dyDescent="0.3">
      <c r="A7" s="9"/>
      <c r="B7" s="9"/>
      <c r="L7" s="10"/>
      <c r="M7" s="10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</row>
    <row r="8" spans="1:76" x14ac:dyDescent="0.3">
      <c r="A8" s="9"/>
      <c r="B8" s="9"/>
      <c r="C8" s="25"/>
      <c r="D8" s="25" t="s">
        <v>121</v>
      </c>
      <c r="E8" s="28" t="s">
        <v>115</v>
      </c>
      <c r="F8" t="s">
        <v>118</v>
      </c>
      <c r="G8" s="1"/>
      <c r="H8" s="1"/>
      <c r="I8" s="1"/>
      <c r="J8" s="1"/>
      <c r="L8" s="10"/>
      <c r="M8" s="10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</row>
    <row r="9" spans="1:76" x14ac:dyDescent="0.3">
      <c r="B9" s="9"/>
      <c r="C9" s="25"/>
      <c r="D9" s="25"/>
      <c r="E9" s="56" t="s">
        <v>83</v>
      </c>
      <c r="F9" t="s">
        <v>118</v>
      </c>
      <c r="G9" s="1"/>
      <c r="H9" s="1"/>
      <c r="I9" s="1"/>
      <c r="J9" s="1"/>
      <c r="L9" s="10"/>
      <c r="M9" s="10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</row>
    <row r="10" spans="1:76" x14ac:dyDescent="0.3">
      <c r="A10" s="9"/>
      <c r="B10" s="9"/>
      <c r="C10" s="25"/>
      <c r="D10" s="25"/>
      <c r="E10" s="1"/>
      <c r="F10" s="1"/>
      <c r="G10" s="1"/>
      <c r="H10" s="1"/>
      <c r="I10" s="1"/>
      <c r="J10" s="1"/>
      <c r="L10" s="10"/>
      <c r="M10" s="1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</row>
    <row r="11" spans="1:76" x14ac:dyDescent="0.3">
      <c r="A11" s="9"/>
      <c r="B11" s="9"/>
      <c r="C11" s="46"/>
      <c r="D11" s="25"/>
      <c r="E11" s="47"/>
      <c r="F11" s="47"/>
      <c r="G11" s="47"/>
      <c r="H11" s="47"/>
      <c r="I11" s="1"/>
      <c r="J11" s="1"/>
      <c r="L11" s="10"/>
      <c r="M11" s="10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</row>
    <row r="12" spans="1:76" x14ac:dyDescent="0.3">
      <c r="A12" s="9"/>
      <c r="B12" s="9"/>
      <c r="C12" s="46"/>
      <c r="D12" s="25"/>
      <c r="E12" s="47"/>
      <c r="F12" s="47"/>
      <c r="G12" s="47"/>
      <c r="H12" s="47"/>
      <c r="I12" s="4"/>
      <c r="J12" s="4"/>
      <c r="L12" s="10"/>
      <c r="M12" s="10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</row>
    <row r="13" spans="1:76" x14ac:dyDescent="0.3">
      <c r="A13" s="9"/>
      <c r="B13" s="9"/>
      <c r="C13" s="25"/>
      <c r="D13" s="25"/>
      <c r="E13" s="4"/>
      <c r="F13" s="4"/>
      <c r="G13" s="4"/>
      <c r="H13" s="4"/>
      <c r="L13" s="10"/>
      <c r="M13" s="10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</row>
    <row r="14" spans="1:76" x14ac:dyDescent="0.3">
      <c r="A14" s="9"/>
      <c r="B14" s="9"/>
      <c r="C14" s="25"/>
      <c r="D14" s="25"/>
      <c r="E14" s="3"/>
      <c r="F14" s="3"/>
      <c r="G14" s="3"/>
      <c r="H14" s="3"/>
      <c r="L14" s="10"/>
      <c r="M14" s="10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</row>
    <row r="15" spans="1:76" x14ac:dyDescent="0.3">
      <c r="A15" s="9"/>
      <c r="B15" s="9"/>
      <c r="L15" s="10"/>
      <c r="M15" s="10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</row>
    <row r="16" spans="1:76" ht="4.8" customHeight="1" x14ac:dyDescent="0.3">
      <c r="A16" s="9"/>
      <c r="B16" s="9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7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</row>
    <row r="17" spans="1:76" x14ac:dyDescent="0.3">
      <c r="A17" s="9"/>
      <c r="B17" s="9"/>
      <c r="C17" s="15"/>
      <c r="D17" s="15"/>
      <c r="E17" s="15"/>
      <c r="F17" s="15"/>
      <c r="G17" s="15"/>
      <c r="H17" s="15"/>
      <c r="I17" s="15"/>
      <c r="J17" s="15"/>
      <c r="K17" s="15"/>
      <c r="L17" s="9"/>
      <c r="M17" s="15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</row>
    <row r="18" spans="1:76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</row>
    <row r="19" spans="1:76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</row>
    <row r="20" spans="1:76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</row>
    <row r="21" spans="1:76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</row>
    <row r="22" spans="1:76" x14ac:dyDescent="0.3">
      <c r="A22" s="9"/>
      <c r="B22" s="9"/>
      <c r="C22" s="9"/>
      <c r="D22" s="9"/>
      <c r="E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</row>
    <row r="23" spans="1:76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</row>
    <row r="24" spans="1:76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</row>
    <row r="25" spans="1:76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</row>
    <row r="26" spans="1:76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</row>
    <row r="27" spans="1:76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</row>
    <row r="28" spans="1:76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</row>
    <row r="29" spans="1:76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</row>
    <row r="30" spans="1:76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</row>
    <row r="31" spans="1:76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</row>
    <row r="32" spans="1:76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</row>
    <row r="33" spans="1:76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</row>
    <row r="34" spans="1:76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</row>
    <row r="35" spans="1:76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</row>
    <row r="36" spans="1:76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</row>
    <row r="37" spans="1:76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</row>
    <row r="38" spans="1:76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</row>
    <row r="39" spans="1:76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</row>
    <row r="40" spans="1:76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</row>
    <row r="41" spans="1:76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</row>
    <row r="42" spans="1:76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</row>
    <row r="43" spans="1:76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</row>
    <row r="44" spans="1:76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</row>
    <row r="45" spans="1:76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</row>
    <row r="46" spans="1:76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</row>
    <row r="47" spans="1:76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</row>
    <row r="48" spans="1:76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</row>
    <row r="49" spans="1:76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</row>
    <row r="50" spans="1:76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</row>
    <row r="51" spans="1:76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</row>
    <row r="52" spans="1:76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</row>
    <row r="53" spans="1:76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</row>
    <row r="54" spans="1:76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</row>
    <row r="55" spans="1:76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</row>
    <row r="56" spans="1:76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</row>
    <row r="57" spans="1:76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</row>
    <row r="58" spans="1:76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</row>
    <row r="59" spans="1:76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</row>
    <row r="60" spans="1:76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</row>
    <row r="61" spans="1:76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</row>
    <row r="62" spans="1:76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</row>
    <row r="63" spans="1:76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</row>
    <row r="64" spans="1:76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</row>
    <row r="65" spans="1:76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</row>
    <row r="66" spans="1:76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</row>
    <row r="67" spans="1:76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</row>
    <row r="68" spans="1:76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</row>
    <row r="69" spans="1:76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</row>
    <row r="70" spans="1:76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</row>
    <row r="71" spans="1:76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</row>
    <row r="72" spans="1:76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</row>
    <row r="73" spans="1:76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</row>
    <row r="74" spans="1:76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</row>
    <row r="75" spans="1:76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</row>
    <row r="76" spans="1:76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</row>
    <row r="77" spans="1:76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</row>
    <row r="78" spans="1:76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</row>
    <row r="79" spans="1:76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</row>
    <row r="80" spans="1:76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</row>
    <row r="81" spans="1:76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</row>
    <row r="82" spans="1:76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</row>
    <row r="83" spans="1:76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</row>
    <row r="84" spans="1:76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</row>
    <row r="85" spans="1:76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</row>
    <row r="86" spans="1:76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</row>
    <row r="87" spans="1:76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</row>
    <row r="88" spans="1:76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</row>
    <row r="89" spans="1:76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</row>
    <row r="90" spans="1:76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</row>
    <row r="91" spans="1:76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</row>
    <row r="92" spans="1:76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</row>
    <row r="93" spans="1:76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</row>
    <row r="94" spans="1:76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</row>
    <row r="95" spans="1:76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</row>
    <row r="96" spans="1:76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</row>
    <row r="97" spans="1:76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</row>
    <row r="98" spans="1:76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</row>
    <row r="99" spans="1:76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</row>
    <row r="100" spans="1:76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</row>
    <row r="101" spans="1:76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</row>
    <row r="102" spans="1:76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</row>
    <row r="103" spans="1:76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</row>
    <row r="104" spans="1:76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</row>
    <row r="105" spans="1:76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</row>
    <row r="106" spans="1:76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</row>
    <row r="107" spans="1:76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</row>
    <row r="108" spans="1:76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</row>
    <row r="109" spans="1:76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</row>
    <row r="110" spans="1:76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</row>
    <row r="111" spans="1:76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</row>
    <row r="112" spans="1:76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</row>
    <row r="113" spans="1:76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</row>
    <row r="114" spans="1:76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</row>
    <row r="115" spans="1:76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</row>
    <row r="116" spans="1:76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</row>
    <row r="117" spans="1:76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</row>
    <row r="118" spans="1:76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</row>
    <row r="119" spans="1:76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</row>
    <row r="120" spans="1:76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</row>
    <row r="121" spans="1:76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</row>
    <row r="122" spans="1:76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</row>
    <row r="123" spans="1:76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</row>
    <row r="124" spans="1:76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</row>
    <row r="125" spans="1:76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</row>
    <row r="126" spans="1:76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</row>
    <row r="127" spans="1:76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</row>
    <row r="128" spans="1:76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</row>
    <row r="129" spans="1:76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</row>
    <row r="130" spans="1:76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</row>
    <row r="131" spans="1:76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</row>
    <row r="132" spans="1:76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</row>
    <row r="133" spans="1:76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</row>
    <row r="134" spans="1:76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</row>
    <row r="135" spans="1:76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</row>
    <row r="136" spans="1:76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</row>
    <row r="137" spans="1:76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</row>
    <row r="138" spans="1:76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</row>
    <row r="139" spans="1:76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</row>
    <row r="140" spans="1:76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</row>
    <row r="141" spans="1:76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</row>
    <row r="142" spans="1:76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</row>
    <row r="143" spans="1:76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</row>
    <row r="144" spans="1:76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</row>
    <row r="145" spans="1:76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</row>
    <row r="146" spans="1:76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</row>
    <row r="147" spans="1:76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</row>
    <row r="148" spans="1:76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</row>
    <row r="149" spans="1:76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</row>
    <row r="150" spans="1:76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</row>
    <row r="151" spans="1:76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</row>
    <row r="152" spans="1:76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</row>
    <row r="153" spans="1:76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</row>
    <row r="154" spans="1:76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</row>
    <row r="155" spans="1:76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</row>
    <row r="156" spans="1:76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</row>
    <row r="157" spans="1:76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</row>
    <row r="158" spans="1:76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</row>
    <row r="159" spans="1:76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</row>
    <row r="160" spans="1:76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</row>
    <row r="161" spans="1:76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</row>
    <row r="162" spans="1:76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</row>
    <row r="163" spans="1:76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</row>
    <row r="164" spans="1:76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</row>
  </sheetData>
  <hyperlinks>
    <hyperlink ref="E9" r:id="rId1" xr:uid="{A056D3D5-F8BB-4B40-9885-AAA163D5B05F}"/>
    <hyperlink ref="E8" r:id="rId2" xr:uid="{7ED80EB2-D931-4F87-A2D1-3722E279CDA1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 Model</vt:lpstr>
      <vt:lpstr>Inputs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 A</cp:lastModifiedBy>
  <dcterms:created xsi:type="dcterms:W3CDTF">2026-01-13T16:27:08Z</dcterms:created>
  <dcterms:modified xsi:type="dcterms:W3CDTF">2026-02-24T21:48:22Z</dcterms:modified>
</cp:coreProperties>
</file>