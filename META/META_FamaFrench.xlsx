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models\META\"/>
    </mc:Choice>
  </mc:AlternateContent>
  <xr:revisionPtr revIDLastSave="0" documentId="13_ncr:1_{6B6956B9-4797-4152-8408-3F8841A42235}" xr6:coauthVersionLast="47" xr6:coauthVersionMax="47" xr10:uidLastSave="{00000000-0000-0000-0000-000000000000}"/>
  <bookViews>
    <workbookView xWindow="-28920" yWindow="660" windowWidth="29040" windowHeight="157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S32" i="1" l="1"/>
  <c r="T12" i="1"/>
  <c r="T11" i="1"/>
  <c r="S31" i="1"/>
  <c r="H10" i="1" l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9" i="1"/>
</calcChain>
</file>

<file path=xl/sharedStrings.xml><?xml version="1.0" encoding="utf-8"?>
<sst xmlns="http://schemas.openxmlformats.org/spreadsheetml/2006/main" count="64" uniqueCount="45">
  <si>
    <t>Mkt-RF</t>
  </si>
  <si>
    <t>SMB</t>
  </si>
  <si>
    <t>HML</t>
  </si>
  <si>
    <t>RF</t>
  </si>
  <si>
    <t>Date</t>
  </si>
  <si>
    <t>Monthly Return</t>
  </si>
  <si>
    <t xml:space="preserve">‎ </t>
  </si>
  <si>
    <t>FAMA</t>
  </si>
  <si>
    <t>Monthly Excess Return</t>
  </si>
  <si>
    <t>.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</si>
  <si>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</si>
  <si>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</si>
  <si>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</si>
  <si>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</si>
  <si>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</si>
  <si>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</si>
  <si>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</si>
  <si>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</si>
  <si>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</si>
  <si>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</si>
  <si>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</si>
  <si>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</si>
  <si>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</si>
  <si>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</si>
  <si>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</si>
  <si>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</si>
  <si>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</si>
  <si>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</si>
  <si>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</si>
  <si>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</si>
  <si>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</si>
  <si>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</si>
  <si>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</si>
  <si>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</si>
  <si>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Annualized Alpha</t>
  </si>
  <si>
    <t>Fama-French Required Return</t>
  </si>
  <si>
    <t>Risk Free Rate</t>
  </si>
  <si>
    <t xml:space="preserve">ERP </t>
  </si>
  <si>
    <t>(from WAAC Sheet)</t>
  </si>
  <si>
    <t>SMB Premium</t>
  </si>
  <si>
    <t>HML Premium</t>
  </si>
  <si>
    <t>Mohanad Assali</t>
  </si>
  <si>
    <t>Fama-French Model</t>
  </si>
  <si>
    <t>Last Modified 2/26/2026</t>
  </si>
  <si>
    <r>
      <t xml:space="preserve">Source: </t>
    </r>
    <r>
      <rPr>
        <i/>
        <sz val="11"/>
        <color theme="1"/>
        <rFont val="Calibri"/>
        <family val="2"/>
        <scheme val="minor"/>
      </rPr>
      <t>Monthly Fama-French 3-Factors via Kenneth R. French Data Library (5-Year Period)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</si>
</sst>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14" fontId="0" fillId="0" borderId="1" xfId="0" applyNumberFormat="1" applyBorder="1"/>
    <xf numFmtId="10" fontId="0" fillId="0" borderId="1" xfId="0" applyNumberFormat="1" applyBorder="1"/>
    <xf numFmtId="0" fontId="0" fillId="2" borderId="1" xfId="0" applyFill="1" applyBorder="1"/>
    <xf numFmtId="14" fontId="0" fillId="2" borderId="1" xfId="0" applyNumberFormat="1" applyFill="1" applyBorder="1"/>
    <xf numFmtId="10" fontId="0" fillId="2" borderId="1" xfId="0" applyNumberFormat="1" applyFill="1" applyBorder="1"/>
    <xf numFmtId="0" fontId="0" fillId="3" borderId="0" xfId="0" applyFill="1"/>
    <xf numFmtId="0" fontId="0" fillId="2" borderId="0" xfId="0" applyFill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14" fontId="0" fillId="0" borderId="1" xfId="0" applyNumberFormat="1" applyBorder="1" applyAlignment="1">
      <alignment horizontal="center" vertical="top"/>
    </xf>
    <xf numFmtId="14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10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0" fillId="0" borderId="4" xfId="0" applyBorder="1"/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Continuous"/>
    </xf>
    <xf numFmtId="0" fontId="1" fillId="0" borderId="0" xfId="0" applyFont="1"/>
    <xf numFmtId="0" fontId="1" fillId="4" borderId="0" xfId="0" applyFont="1" applyFill="1"/>
    <xf numFmtId="0" fontId="1" fillId="4" borderId="4" xfId="0" applyFont="1" applyFill="1" applyBorder="1"/>
    <xf numFmtId="10" fontId="0" fillId="3" borderId="0" xfId="0" applyNumberFormat="1" applyFill="1"/>
    <xf numFmtId="0" fontId="1" fillId="0" borderId="6" xfId="0" applyFont="1" applyBorder="1"/>
    <xf numFmtId="0" fontId="0" fillId="3" borderId="6" xfId="0" applyFill="1" applyBorder="1"/>
    <xf numFmtId="10" fontId="0" fillId="3" borderId="6" xfId="0" applyNumberFormat="1" applyFill="1" applyBorder="1"/>
    <xf numFmtId="0" fontId="1" fillId="3" borderId="7" xfId="0" applyFont="1" applyFill="1" applyBorder="1"/>
    <xf numFmtId="0" fontId="0" fillId="3" borderId="7" xfId="0" applyFill="1" applyBorder="1"/>
    <xf numFmtId="10" fontId="0" fillId="3" borderId="7" xfId="0" applyNumberFormat="1" applyFill="1" applyBorder="1"/>
    <xf numFmtId="0" fontId="4" fillId="2" borderId="1" xfId="0" applyFont="1" applyFill="1" applyBorder="1"/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533401</xdr:colOff>
      <xdr:row>33</xdr:row>
      <xdr:rowOff>57149</xdr:rowOff>
    </xdr:from>
    <xdr:to>
      <xdr:col>22</xdr:col>
      <xdr:colOff>419100</xdr:colOff>
      <xdr:row>35</xdr:row>
      <xdr:rowOff>136966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6DB948-1F8E-393E-DD5D-055B606F1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7176" y="6086474"/>
          <a:ext cx="5570219" cy="4455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76"/>
  <sheetViews>
    <sheetView tabSelected="1" topLeftCell="A25" workbookViewId="0">
      <selection activeCell="S42" sqref="S42"/>
    </sheetView>
  </sheetViews>
  <sheetFormatPr defaultRowHeight="14.4" x14ac:dyDescent="0.3"/>
  <cols>
    <col min="1" max="1" width="8.88671875" style="1"/>
    <col min="2" max="2" width="18.109375" style="2" bestFit="1" customWidth="1"/>
    <col min="3" max="5" width="7.6640625" style="1" bestFit="1" customWidth="1"/>
    <col min="6" max="6" width="7" style="3" bestFit="1" customWidth="1"/>
    <col min="7" max="7" width="11" style="3" customWidth="1"/>
    <col min="8" max="9" width="8.88671875" style="1"/>
    <col min="10" max="10" width="10.109375" customWidth="1"/>
    <col min="11" max="11" width="1.5546875" customWidth="1"/>
    <col min="12" max="12" width="1" customWidth="1"/>
    <col min="13" max="18" width="8.88671875" style="7"/>
    <col min="19" max="19" width="11.88671875" style="7" customWidth="1"/>
    <col min="20" max="36" width="8.88671875" style="7"/>
    <col min="37" max="16384" width="8.88671875" style="1"/>
  </cols>
  <sheetData>
    <row r="1" spans="1:21" x14ac:dyDescent="0.3">
      <c r="A1" s="30" t="s">
        <v>43</v>
      </c>
      <c r="B1" s="5"/>
      <c r="C1" s="4"/>
      <c r="D1" s="30" t="s">
        <v>42</v>
      </c>
      <c r="E1" s="4"/>
      <c r="F1" s="6"/>
      <c r="G1" s="6"/>
      <c r="H1" s="30" t="s">
        <v>41</v>
      </c>
      <c r="I1" s="4"/>
      <c r="J1" s="8"/>
      <c r="K1" s="9"/>
      <c r="L1" s="9"/>
      <c r="N1" s="32" t="s">
        <v>44</v>
      </c>
      <c r="O1" s="31"/>
    </row>
    <row r="2" spans="1:21" x14ac:dyDescent="0.3">
      <c r="A2" s="11" t="s">
        <v>7</v>
      </c>
      <c r="K2" s="9"/>
      <c r="L2" s="9"/>
    </row>
    <row r="3" spans="1:21" x14ac:dyDescent="0.3">
      <c r="K3" s="9"/>
      <c r="L3" s="9"/>
    </row>
    <row r="4" spans="1:21" x14ac:dyDescent="0.3">
      <c r="K4" s="9"/>
      <c r="L4" s="9"/>
    </row>
    <row r="5" spans="1:21" x14ac:dyDescent="0.3">
      <c r="K5" s="9"/>
      <c r="L5" s="9"/>
    </row>
    <row r="6" spans="1:21" x14ac:dyDescent="0.3">
      <c r="A6" s="4"/>
      <c r="B6" s="5"/>
      <c r="C6" s="4"/>
      <c r="D6" s="4"/>
      <c r="E6" s="4"/>
      <c r="F6" s="6"/>
      <c r="G6" s="6"/>
      <c r="H6" s="4"/>
      <c r="I6" s="4"/>
      <c r="J6" s="4"/>
      <c r="K6" s="9"/>
      <c r="L6" s="9"/>
    </row>
    <row r="7" spans="1:21" x14ac:dyDescent="0.3">
      <c r="K7" s="9"/>
      <c r="L7" s="9"/>
    </row>
    <row r="8" spans="1:21" x14ac:dyDescent="0.3">
      <c r="B8" s="13" t="s">
        <v>4</v>
      </c>
      <c r="C8" s="14" t="s">
        <v>0</v>
      </c>
      <c r="D8" s="14" t="s">
        <v>1</v>
      </c>
      <c r="E8" s="14" t="s">
        <v>2</v>
      </c>
      <c r="F8" s="15" t="s">
        <v>3</v>
      </c>
      <c r="G8" s="15" t="s">
        <v>5</v>
      </c>
      <c r="H8" s="16" t="s">
        <v>8</v>
      </c>
      <c r="I8" s="1" t="s">
        <v>9</v>
      </c>
      <c r="K8" s="9"/>
      <c r="L8" s="9"/>
    </row>
    <row r="9" spans="1:21" x14ac:dyDescent="0.3">
      <c r="B9" s="12">
        <v>44197</v>
      </c>
      <c r="C9" s="1">
        <v>-7.000000000000001E-4</v>
      </c>
      <c r="D9" s="1">
        <v>7.1399999999999991E-2</v>
      </c>
      <c r="E9" s="1">
        <v>3.2199999999999999E-2</v>
      </c>
      <c r="F9" s="3">
        <v>0</v>
      </c>
      <c r="G9" s="3">
        <v>0</v>
      </c>
      <c r="H9" s="3">
        <f>G9-F9</f>
        <v>0</v>
      </c>
      <c r="K9" s="9"/>
      <c r="L9" s="9"/>
      <c r="O9" s="20" t="s">
        <v>10</v>
      </c>
      <c r="P9" s="20"/>
    </row>
    <row r="10" spans="1:21" ht="15" thickBot="1" x14ac:dyDescent="0.35">
      <c r="B10" s="12">
        <v>44228</v>
      </c>
      <c r="C10" s="1">
        <v>2.81E-2</v>
      </c>
      <c r="D10" s="1">
        <v>2.0199999999999999E-2</v>
      </c>
      <c r="E10" s="1">
        <v>7.2000000000000008E-2</v>
      </c>
      <c r="F10" s="3">
        <v>0</v>
      </c>
      <c r="G10" s="3">
        <v>-2.7485544364261871E-3</v>
      </c>
      <c r="H10" s="3">
        <f t="shared" ref="H10:H68" si="0">G10-F10</f>
        <v>-2.7485544364261871E-3</v>
      </c>
      <c r="K10" s="9"/>
      <c r="L10" s="9"/>
    </row>
    <row r="11" spans="1:21" x14ac:dyDescent="0.3">
      <c r="B11" s="12">
        <v>44256</v>
      </c>
      <c r="C11" s="1">
        <v>3.1600000000000003E-2</v>
      </c>
      <c r="D11" s="1">
        <v>-2.3300000000000001E-2</v>
      </c>
      <c r="E11" s="1">
        <v>7.3499999999999996E-2</v>
      </c>
      <c r="F11" s="3">
        <v>0</v>
      </c>
      <c r="G11" s="3">
        <v>0.14327330167293079</v>
      </c>
      <c r="H11" s="3">
        <f t="shared" si="0"/>
        <v>0.14327330167293079</v>
      </c>
      <c r="K11" s="9"/>
      <c r="L11" s="9"/>
      <c r="O11" s="19" t="s">
        <v>11</v>
      </c>
      <c r="P11" s="19"/>
      <c r="R11" s="7" t="s">
        <v>36</v>
      </c>
      <c r="T11" s="23">
        <f>4.28%</f>
        <v>4.2800000000000005E-2</v>
      </c>
      <c r="U11" s="7" t="s">
        <v>38</v>
      </c>
    </row>
    <row r="12" spans="1:21" x14ac:dyDescent="0.3">
      <c r="B12" s="12">
        <v>44287</v>
      </c>
      <c r="C12" s="1">
        <v>4.9500000000000002E-2</v>
      </c>
      <c r="D12" s="1">
        <v>-3.1899999999999998E-2</v>
      </c>
      <c r="E12" s="1">
        <v>-1.0200000000000001E-2</v>
      </c>
      <c r="F12" s="3">
        <v>0</v>
      </c>
      <c r="G12" s="3">
        <v>0.10372434413224001</v>
      </c>
      <c r="H12" s="3">
        <f t="shared" si="0"/>
        <v>0.10372434413224001</v>
      </c>
      <c r="K12" s="9"/>
      <c r="L12" s="9"/>
      <c r="O12" t="s">
        <v>12</v>
      </c>
      <c r="P12">
        <v>0.55099340860968904</v>
      </c>
      <c r="R12" s="7" t="s">
        <v>37</v>
      </c>
      <c r="T12" s="23">
        <f>4.18%</f>
        <v>4.1799999999999997E-2</v>
      </c>
    </row>
    <row r="13" spans="1:21" x14ac:dyDescent="0.3">
      <c r="B13" s="12">
        <v>44317</v>
      </c>
      <c r="C13" s="1">
        <v>3.0000000000000001E-3</v>
      </c>
      <c r="D13" s="1">
        <v>-2E-3</v>
      </c>
      <c r="E13" s="1">
        <v>7.0400000000000004E-2</v>
      </c>
      <c r="F13" s="3">
        <v>0</v>
      </c>
      <c r="G13" s="3">
        <v>1.122833506659426E-2</v>
      </c>
      <c r="H13" s="3">
        <f t="shared" si="0"/>
        <v>1.122833506659426E-2</v>
      </c>
      <c r="K13" s="9"/>
      <c r="L13" s="9"/>
      <c r="O13" t="s">
        <v>13</v>
      </c>
      <c r="P13">
        <v>0.30359373633132369</v>
      </c>
      <c r="R13" s="7" t="s">
        <v>39</v>
      </c>
      <c r="T13" s="23">
        <v>0.02</v>
      </c>
    </row>
    <row r="14" spans="1:21" x14ac:dyDescent="0.3">
      <c r="B14" s="12">
        <v>44348</v>
      </c>
      <c r="C14" s="1">
        <v>2.7400000000000001E-2</v>
      </c>
      <c r="D14" s="1">
        <v>1.7000000000000001E-2</v>
      </c>
      <c r="E14" s="1">
        <v>-7.8600000000000003E-2</v>
      </c>
      <c r="F14" s="3">
        <v>0</v>
      </c>
      <c r="G14" s="3">
        <v>5.7737122122024857E-2</v>
      </c>
      <c r="H14" s="3">
        <f t="shared" si="0"/>
        <v>5.7737122122024857E-2</v>
      </c>
      <c r="K14" s="9"/>
      <c r="L14" s="9"/>
      <c r="O14" t="s">
        <v>14</v>
      </c>
      <c r="P14">
        <v>0.26628625792050176</v>
      </c>
      <c r="R14" s="7" t="s">
        <v>40</v>
      </c>
      <c r="T14" s="23">
        <v>3.5000000000000003E-2</v>
      </c>
    </row>
    <row r="15" spans="1:21" x14ac:dyDescent="0.3">
      <c r="B15" s="12">
        <v>44378</v>
      </c>
      <c r="C15" s="1">
        <v>1.34E-2</v>
      </c>
      <c r="D15" s="1">
        <v>-3.9300000000000002E-2</v>
      </c>
      <c r="E15" s="1">
        <v>-1.7899999999999999E-2</v>
      </c>
      <c r="F15" s="3">
        <v>0</v>
      </c>
      <c r="G15" s="3">
        <v>2.4704535435420279E-2</v>
      </c>
      <c r="H15" s="3">
        <f t="shared" si="0"/>
        <v>2.4704535435420279E-2</v>
      </c>
      <c r="K15" s="9"/>
      <c r="L15" s="9"/>
      <c r="O15" t="s">
        <v>15</v>
      </c>
      <c r="P15">
        <v>0.10071940017008292</v>
      </c>
    </row>
    <row r="16" spans="1:21" ht="15" thickBot="1" x14ac:dyDescent="0.35">
      <c r="B16" s="12">
        <v>44409</v>
      </c>
      <c r="C16" s="1">
        <v>2.9399999999999999E-2</v>
      </c>
      <c r="D16" s="1">
        <v>-3.2000000000000002E-3</v>
      </c>
      <c r="E16" s="1">
        <v>-2.3E-3</v>
      </c>
      <c r="F16" s="3">
        <v>0</v>
      </c>
      <c r="G16" s="3">
        <v>6.4776769931368605E-2</v>
      </c>
      <c r="H16" s="3">
        <f t="shared" si="0"/>
        <v>6.4776769931368605E-2</v>
      </c>
      <c r="K16" s="9"/>
      <c r="L16" s="9"/>
      <c r="O16" s="17" t="s">
        <v>16</v>
      </c>
      <c r="P16" s="17">
        <v>60</v>
      </c>
    </row>
    <row r="17" spans="2:23" x14ac:dyDescent="0.3">
      <c r="B17" s="12">
        <v>44440</v>
      </c>
      <c r="C17" s="1">
        <v>-4.3999999999999997E-2</v>
      </c>
      <c r="D17" s="1">
        <v>6.6E-3</v>
      </c>
      <c r="E17" s="1">
        <v>5.1200000000000002E-2</v>
      </c>
      <c r="F17" s="3">
        <v>0</v>
      </c>
      <c r="G17" s="3">
        <v>-0.1054087280433416</v>
      </c>
      <c r="H17" s="3">
        <f t="shared" si="0"/>
        <v>-0.1054087280433416</v>
      </c>
      <c r="K17" s="9"/>
      <c r="L17" s="9"/>
      <c r="O17"/>
      <c r="P17"/>
    </row>
    <row r="18" spans="2:23" ht="15" thickBot="1" x14ac:dyDescent="0.35">
      <c r="B18" s="12">
        <v>44470</v>
      </c>
      <c r="C18" s="1">
        <v>6.6299999999999998E-2</v>
      </c>
      <c r="D18" s="1">
        <v>-2.2599999999999999E-2</v>
      </c>
      <c r="E18" s="1">
        <v>-5.3E-3</v>
      </c>
      <c r="F18" s="3">
        <v>0</v>
      </c>
      <c r="G18" s="3">
        <v>-4.6612880530634497E-2</v>
      </c>
      <c r="H18" s="3">
        <f t="shared" si="0"/>
        <v>-4.6612880530634497E-2</v>
      </c>
      <c r="J18" t="s">
        <v>6</v>
      </c>
      <c r="K18" s="9"/>
      <c r="L18" s="9"/>
      <c r="O18" t="s">
        <v>17</v>
      </c>
      <c r="P18"/>
    </row>
    <row r="19" spans="2:23" x14ac:dyDescent="0.3">
      <c r="B19" s="12">
        <v>44501</v>
      </c>
      <c r="C19" s="1">
        <v>-1.5800000000000002E-2</v>
      </c>
      <c r="D19" s="1">
        <v>-1.3100000000000001E-2</v>
      </c>
      <c r="E19" s="1">
        <v>-3.7000000000000002E-3</v>
      </c>
      <c r="F19" s="3">
        <v>0</v>
      </c>
      <c r="G19" s="3">
        <v>2.750447945018442E-3</v>
      </c>
      <c r="H19" s="3">
        <f t="shared" si="0"/>
        <v>2.750447945018442E-3</v>
      </c>
      <c r="K19" s="9"/>
      <c r="L19" s="9"/>
      <c r="O19" s="18"/>
      <c r="P19" s="18" t="s">
        <v>22</v>
      </c>
      <c r="Q19" s="18" t="s">
        <v>23</v>
      </c>
      <c r="R19" s="18" t="s">
        <v>24</v>
      </c>
      <c r="S19" s="18" t="s">
        <v>25</v>
      </c>
      <c r="T19" s="18" t="s">
        <v>26</v>
      </c>
    </row>
    <row r="20" spans="2:23" x14ac:dyDescent="0.3">
      <c r="B20" s="12">
        <v>44531</v>
      </c>
      <c r="C20" s="1">
        <v>3.2300000000000002E-2</v>
      </c>
      <c r="D20" s="1">
        <v>-1.6299999999999999E-2</v>
      </c>
      <c r="E20" s="1">
        <v>3.2500000000000001E-2</v>
      </c>
      <c r="F20" s="3">
        <v>1E-4</v>
      </c>
      <c r="G20" s="3">
        <v>3.664542115979752E-2</v>
      </c>
      <c r="H20" s="3">
        <f t="shared" si="0"/>
        <v>3.6545421159797517E-2</v>
      </c>
      <c r="J20" t="s">
        <v>6</v>
      </c>
      <c r="K20" s="9"/>
      <c r="L20" s="9"/>
      <c r="O20" t="s">
        <v>18</v>
      </c>
      <c r="P20">
        <v>3</v>
      </c>
      <c r="Q20">
        <v>0.24765347532053728</v>
      </c>
      <c r="R20">
        <v>8.2551158440179087E-2</v>
      </c>
      <c r="S20">
        <v>8.1376107221242506</v>
      </c>
      <c r="T20">
        <v>1.3783400635996194E-4</v>
      </c>
    </row>
    <row r="21" spans="2:23" x14ac:dyDescent="0.3">
      <c r="B21" s="12">
        <v>44562</v>
      </c>
      <c r="C21" s="1">
        <v>-6.1600000000000002E-2</v>
      </c>
      <c r="D21" s="1">
        <v>-5.9299999999999999E-2</v>
      </c>
      <c r="E21" s="1">
        <v>0.12859999999999999</v>
      </c>
      <c r="F21" s="3">
        <v>0</v>
      </c>
      <c r="G21" s="3">
        <v>-6.8648765991458083E-2</v>
      </c>
      <c r="H21" s="3">
        <f t="shared" si="0"/>
        <v>-6.8648765991458083E-2</v>
      </c>
      <c r="K21" s="9"/>
      <c r="L21" s="9"/>
      <c r="O21" t="s">
        <v>19</v>
      </c>
      <c r="P21">
        <v>56</v>
      </c>
      <c r="Q21">
        <v>0.56808626395479278</v>
      </c>
      <c r="R21">
        <v>1.01443975706213E-2</v>
      </c>
      <c r="S21"/>
      <c r="T21"/>
    </row>
    <row r="22" spans="2:23" ht="15" thickBot="1" x14ac:dyDescent="0.35">
      <c r="B22" s="12">
        <v>44593</v>
      </c>
      <c r="C22" s="1">
        <v>-2.2800000000000001E-2</v>
      </c>
      <c r="D22" s="1">
        <v>2.1600000000000001E-2</v>
      </c>
      <c r="E22" s="1">
        <v>3.0599999999999999E-2</v>
      </c>
      <c r="F22" s="3">
        <v>0</v>
      </c>
      <c r="G22" s="3">
        <v>-0.32634219949837628</v>
      </c>
      <c r="H22" s="3">
        <f t="shared" si="0"/>
        <v>-0.32634219949837628</v>
      </c>
      <c r="K22" s="9"/>
      <c r="L22" s="9"/>
      <c r="O22" s="17" t="s">
        <v>20</v>
      </c>
      <c r="P22" s="17">
        <v>59</v>
      </c>
      <c r="Q22" s="17">
        <v>0.81573973927533006</v>
      </c>
      <c r="R22" s="17"/>
      <c r="S22" s="17"/>
      <c r="T22" s="17"/>
    </row>
    <row r="23" spans="2:23" ht="15" thickBot="1" x14ac:dyDescent="0.35">
      <c r="B23" s="12">
        <v>44621</v>
      </c>
      <c r="C23" s="1">
        <v>3.0800000000000001E-2</v>
      </c>
      <c r="D23" s="1">
        <v>-1.55E-2</v>
      </c>
      <c r="E23" s="1">
        <v>-1.9E-2</v>
      </c>
      <c r="F23" s="3">
        <v>0</v>
      </c>
      <c r="G23" s="3">
        <v>5.3688960354014492E-2</v>
      </c>
      <c r="H23" s="3">
        <f t="shared" si="0"/>
        <v>5.3688960354014492E-2</v>
      </c>
      <c r="K23" s="9"/>
      <c r="L23" s="9"/>
      <c r="O23"/>
      <c r="P23"/>
      <c r="Q23"/>
      <c r="R23"/>
      <c r="S23"/>
      <c r="T23"/>
    </row>
    <row r="24" spans="2:23" x14ac:dyDescent="0.3">
      <c r="B24" s="12">
        <v>44652</v>
      </c>
      <c r="C24" s="1">
        <v>-9.4100000000000003E-2</v>
      </c>
      <c r="D24" s="1">
        <v>-1.35E-2</v>
      </c>
      <c r="E24" s="1">
        <v>6.1799999999999987E-2</v>
      </c>
      <c r="F24" s="3">
        <v>0</v>
      </c>
      <c r="G24" s="3">
        <v>-9.8443989696159973E-2</v>
      </c>
      <c r="H24" s="3">
        <f t="shared" si="0"/>
        <v>-9.8443989696159973E-2</v>
      </c>
      <c r="K24" s="9"/>
      <c r="L24" s="9"/>
      <c r="O24" s="18"/>
      <c r="P24" s="18" t="s">
        <v>27</v>
      </c>
      <c r="Q24" s="18" t="s">
        <v>15</v>
      </c>
      <c r="R24" s="18" t="s">
        <v>28</v>
      </c>
      <c r="S24" s="18" t="s">
        <v>29</v>
      </c>
      <c r="T24" s="18" t="s">
        <v>30</v>
      </c>
      <c r="U24" s="18" t="s">
        <v>31</v>
      </c>
      <c r="V24" s="18" t="s">
        <v>32</v>
      </c>
      <c r="W24" s="18" t="s">
        <v>33</v>
      </c>
    </row>
    <row r="25" spans="2:23" x14ac:dyDescent="0.3">
      <c r="B25" s="12">
        <v>44682</v>
      </c>
      <c r="C25" s="1">
        <v>-3.3999999999999998E-3</v>
      </c>
      <c r="D25" s="1">
        <v>-1.84E-2</v>
      </c>
      <c r="E25" s="1">
        <v>8.4399999999999989E-2</v>
      </c>
      <c r="F25" s="3">
        <v>2.9999999999999997E-4</v>
      </c>
      <c r="G25" s="3">
        <v>-3.4069944460225147E-2</v>
      </c>
      <c r="H25" s="3">
        <f t="shared" si="0"/>
        <v>-3.4369944460225149E-2</v>
      </c>
      <c r="K25" s="9"/>
      <c r="L25" s="9"/>
      <c r="O25" t="s">
        <v>21</v>
      </c>
      <c r="P25" s="20">
        <v>1.1939429647026411E-2</v>
      </c>
      <c r="Q25">
        <v>1.3827451707558473E-2</v>
      </c>
      <c r="R25">
        <v>0.86345842310915355</v>
      </c>
      <c r="S25">
        <v>0.39156865525674245</v>
      </c>
      <c r="T25">
        <v>-1.5760284651457269E-2</v>
      </c>
      <c r="U25">
        <v>3.9639143945510089E-2</v>
      </c>
      <c r="V25">
        <v>-1.5760284651457269E-2</v>
      </c>
      <c r="W25">
        <v>3.9639143945510089E-2</v>
      </c>
    </row>
    <row r="26" spans="2:23" x14ac:dyDescent="0.3">
      <c r="B26" s="12">
        <v>44713</v>
      </c>
      <c r="C26" s="1">
        <v>-8.4000000000000005E-2</v>
      </c>
      <c r="D26" s="1">
        <v>2.07E-2</v>
      </c>
      <c r="E26" s="1">
        <v>-0.06</v>
      </c>
      <c r="F26" s="3">
        <v>5.9999999999999995E-4</v>
      </c>
      <c r="G26" s="3">
        <v>-0.1672691464138463</v>
      </c>
      <c r="H26" s="3">
        <f t="shared" si="0"/>
        <v>-0.16786914641384629</v>
      </c>
      <c r="K26" s="9"/>
      <c r="L26" s="9"/>
      <c r="O26" t="s">
        <v>0</v>
      </c>
      <c r="P26" s="21">
        <v>1.1769807607708671</v>
      </c>
      <c r="Q26">
        <v>0.31040611283139868</v>
      </c>
      <c r="R26">
        <v>3.7917447888990519</v>
      </c>
      <c r="S26">
        <v>3.6849809954196742E-4</v>
      </c>
      <c r="T26">
        <v>0.55516259616772212</v>
      </c>
      <c r="U26">
        <v>1.7987989253740122</v>
      </c>
      <c r="V26">
        <v>0.55516259616772212</v>
      </c>
      <c r="W26">
        <v>1.7987989253740122</v>
      </c>
    </row>
    <row r="27" spans="2:23" x14ac:dyDescent="0.3">
      <c r="B27" s="12">
        <v>44743</v>
      </c>
      <c r="C27" s="1">
        <v>9.5700000000000007E-2</v>
      </c>
      <c r="D27" s="1">
        <v>2.8400000000000002E-2</v>
      </c>
      <c r="E27" s="1">
        <v>-4.1500000000000002E-2</v>
      </c>
      <c r="F27" s="3">
        <v>8.0000000000000004E-4</v>
      </c>
      <c r="G27" s="3">
        <v>-1.333342989300745E-2</v>
      </c>
      <c r="H27" s="3">
        <f t="shared" si="0"/>
        <v>-1.413342989300745E-2</v>
      </c>
      <c r="K27" s="9"/>
      <c r="L27" s="9"/>
      <c r="O27" t="s">
        <v>1</v>
      </c>
      <c r="P27" s="21">
        <v>-0.67892552061114186</v>
      </c>
      <c r="Q27">
        <v>0.46161278489087237</v>
      </c>
      <c r="R27">
        <v>-1.4707684510333554</v>
      </c>
      <c r="S27">
        <v>0.14695073772493122</v>
      </c>
      <c r="T27">
        <v>-1.6036470476453015</v>
      </c>
      <c r="U27">
        <v>0.24579600642301769</v>
      </c>
      <c r="V27">
        <v>-1.6036470476453015</v>
      </c>
      <c r="W27">
        <v>0.24579600642301769</v>
      </c>
    </row>
    <row r="28" spans="2:23" ht="15" thickBot="1" x14ac:dyDescent="0.35">
      <c r="B28" s="12">
        <v>44774</v>
      </c>
      <c r="C28" s="1">
        <v>-3.7699999999999997E-2</v>
      </c>
      <c r="D28" s="1">
        <v>1.41E-2</v>
      </c>
      <c r="E28" s="1">
        <v>1.8E-3</v>
      </c>
      <c r="F28" s="3">
        <v>1.9E-3</v>
      </c>
      <c r="G28" s="3">
        <v>2.4072939474899972E-2</v>
      </c>
      <c r="H28" s="3">
        <f t="shared" si="0"/>
        <v>2.2172939474899973E-2</v>
      </c>
      <c r="K28" s="9"/>
      <c r="L28" s="9"/>
      <c r="O28" s="17" t="s">
        <v>2</v>
      </c>
      <c r="P28" s="22">
        <v>-0.75310737951211604</v>
      </c>
      <c r="Q28" s="17">
        <v>0.3136425436309192</v>
      </c>
      <c r="R28" s="17">
        <v>-2.4011646213351061</v>
      </c>
      <c r="S28" s="17">
        <v>1.9688229843597305E-2</v>
      </c>
      <c r="T28" s="17">
        <v>-1.3814088940765934</v>
      </c>
      <c r="U28" s="17">
        <v>-0.12480586494763779</v>
      </c>
      <c r="V28" s="17">
        <v>-1.3814088940765934</v>
      </c>
      <c r="W28" s="17">
        <v>-0.12480586494763779</v>
      </c>
    </row>
    <row r="29" spans="2:23" x14ac:dyDescent="0.3">
      <c r="B29" s="12">
        <v>44805</v>
      </c>
      <c r="C29" s="1">
        <v>-9.3399999999999997E-2</v>
      </c>
      <c r="D29" s="1">
        <v>-7.6E-3</v>
      </c>
      <c r="E29" s="1">
        <v>2.9999999999999997E-4</v>
      </c>
      <c r="F29" s="3">
        <v>1.9E-3</v>
      </c>
      <c r="G29" s="3">
        <v>-0.16724976446922821</v>
      </c>
      <c r="H29" s="3">
        <f t="shared" si="0"/>
        <v>-0.16914976446922822</v>
      </c>
      <c r="K29" s="9"/>
      <c r="L29" s="9"/>
    </row>
    <row r="30" spans="2:23" x14ac:dyDescent="0.3">
      <c r="B30" s="12">
        <v>44835</v>
      </c>
      <c r="C30" s="1">
        <v>7.85E-2</v>
      </c>
      <c r="D30" s="1">
        <v>1E-4</v>
      </c>
      <c r="E30" s="1">
        <v>7.9699999999999993E-2</v>
      </c>
      <c r="F30" s="3">
        <v>2.3E-3</v>
      </c>
      <c r="G30" s="3">
        <v>-0.31338444631528778</v>
      </c>
      <c r="H30" s="3">
        <f t="shared" si="0"/>
        <v>-0.3156844463152878</v>
      </c>
      <c r="K30" s="9"/>
      <c r="L30" s="9"/>
    </row>
    <row r="31" spans="2:23" x14ac:dyDescent="0.3">
      <c r="B31" s="12">
        <v>44866</v>
      </c>
      <c r="C31" s="1">
        <v>4.6500000000000007E-2</v>
      </c>
      <c r="D31" s="1">
        <v>-3.5700000000000003E-2</v>
      </c>
      <c r="E31" s="1">
        <v>1.4800000000000001E-2</v>
      </c>
      <c r="F31" s="3">
        <v>2.8999999999999998E-3</v>
      </c>
      <c r="G31" s="3">
        <v>0.26771143867089159</v>
      </c>
      <c r="H31" s="3">
        <f t="shared" si="0"/>
        <v>0.26481143867089157</v>
      </c>
      <c r="K31" s="9"/>
      <c r="L31" s="9"/>
      <c r="O31" s="24" t="s">
        <v>34</v>
      </c>
      <c r="P31" s="25"/>
      <c r="Q31" s="26"/>
      <c r="R31" s="25"/>
      <c r="S31" s="26">
        <f>P25*12</f>
        <v>0.14327315576431693</v>
      </c>
    </row>
    <row r="32" spans="2:23" x14ac:dyDescent="0.3">
      <c r="B32" s="12">
        <v>44896</v>
      </c>
      <c r="C32" s="1">
        <v>-6.3799999999999996E-2</v>
      </c>
      <c r="D32" s="1">
        <v>-7.6E-3</v>
      </c>
      <c r="E32" s="1">
        <v>1.34E-2</v>
      </c>
      <c r="F32" s="3">
        <v>3.3E-3</v>
      </c>
      <c r="G32" s="3">
        <v>1.896693919720915E-2</v>
      </c>
      <c r="H32" s="3">
        <f t="shared" si="0"/>
        <v>1.566693919720915E-2</v>
      </c>
      <c r="K32" s="9"/>
      <c r="L32" s="9"/>
      <c r="O32" s="27" t="s">
        <v>35</v>
      </c>
      <c r="P32" s="28"/>
      <c r="Q32" s="28"/>
      <c r="R32" s="28"/>
      <c r="S32" s="29">
        <f>T11+(P26*T12)+(P27*T13)+(P28*T14)</f>
        <v>5.206052710507534E-2</v>
      </c>
    </row>
    <row r="33" spans="2:12" x14ac:dyDescent="0.3">
      <c r="B33" s="12">
        <v>44927</v>
      </c>
      <c r="C33" s="1">
        <v>6.6100000000000006E-2</v>
      </c>
      <c r="D33" s="1">
        <v>5.0099999999999999E-2</v>
      </c>
      <c r="E33" s="1">
        <v>-3.9399999999999998E-2</v>
      </c>
      <c r="F33" s="3">
        <v>3.5000000000000001E-3</v>
      </c>
      <c r="G33" s="3">
        <v>0.23790940453348891</v>
      </c>
      <c r="H33" s="3">
        <f t="shared" si="0"/>
        <v>0.23440940453348891</v>
      </c>
      <c r="K33" s="9"/>
      <c r="L33" s="9"/>
    </row>
    <row r="34" spans="2:12" x14ac:dyDescent="0.3">
      <c r="B34" s="12">
        <v>44958</v>
      </c>
      <c r="C34" s="1">
        <v>-2.5700000000000001E-2</v>
      </c>
      <c r="D34" s="1">
        <v>1.0500000000000001E-2</v>
      </c>
      <c r="E34" s="1">
        <v>-8.0000000000000002E-3</v>
      </c>
      <c r="F34" s="3">
        <v>3.3999999999999998E-3</v>
      </c>
      <c r="G34" s="3">
        <v>0.17433044522976071</v>
      </c>
      <c r="H34" s="3">
        <f t="shared" si="0"/>
        <v>0.17093044522976072</v>
      </c>
      <c r="K34" s="9"/>
      <c r="L34" s="9"/>
    </row>
    <row r="35" spans="2:12" x14ac:dyDescent="0.3">
      <c r="B35" s="12">
        <v>44986</v>
      </c>
      <c r="C35" s="1">
        <v>2.4799999999999999E-2</v>
      </c>
      <c r="D35" s="1">
        <v>-5.4800000000000001E-2</v>
      </c>
      <c r="E35" s="1">
        <v>-9.0500000000000011E-2</v>
      </c>
      <c r="F35" s="3">
        <v>3.5999999999999999E-3</v>
      </c>
      <c r="G35" s="3">
        <v>0.2115010551289738</v>
      </c>
      <c r="H35" s="3">
        <f t="shared" si="0"/>
        <v>0.20790105512897381</v>
      </c>
      <c r="K35" s="9"/>
      <c r="L35" s="9"/>
    </row>
    <row r="36" spans="2:12" x14ac:dyDescent="0.3">
      <c r="B36" s="12">
        <v>45017</v>
      </c>
      <c r="C36" s="1">
        <v>6.1999999999999998E-3</v>
      </c>
      <c r="D36" s="1">
        <v>-3.3700000000000001E-2</v>
      </c>
      <c r="E36" s="1">
        <v>-1.1999999999999999E-3</v>
      </c>
      <c r="F36" s="3">
        <v>3.5000000000000001E-3</v>
      </c>
      <c r="G36" s="3">
        <v>0.133905841141263</v>
      </c>
      <c r="H36" s="3">
        <f t="shared" si="0"/>
        <v>0.130405841141263</v>
      </c>
      <c r="K36" s="9"/>
      <c r="L36" s="9"/>
    </row>
    <row r="37" spans="2:12" x14ac:dyDescent="0.3">
      <c r="B37" s="12">
        <v>45047</v>
      </c>
      <c r="C37" s="1">
        <v>3.3999999999999998E-3</v>
      </c>
      <c r="D37" s="1">
        <v>1.6E-2</v>
      </c>
      <c r="E37" s="1">
        <v>-7.7899999999999997E-2</v>
      </c>
      <c r="F37" s="3">
        <v>3.5999999999999999E-3</v>
      </c>
      <c r="G37" s="3">
        <v>0.1015312372305521</v>
      </c>
      <c r="H37" s="3">
        <f t="shared" si="0"/>
        <v>9.7931237230552096E-2</v>
      </c>
      <c r="K37" s="9"/>
      <c r="L37" s="9"/>
    </row>
    <row r="38" spans="2:12" x14ac:dyDescent="0.3">
      <c r="B38" s="12">
        <v>45078</v>
      </c>
      <c r="C38" s="1">
        <v>6.4600000000000005E-2</v>
      </c>
      <c r="D38" s="1">
        <v>1.49E-2</v>
      </c>
      <c r="E38" s="1">
        <v>-1.2999999999999999E-3</v>
      </c>
      <c r="F38" s="3">
        <v>4.0000000000000001E-3</v>
      </c>
      <c r="G38" s="3">
        <v>8.4089103398446108E-2</v>
      </c>
      <c r="H38" s="3">
        <f t="shared" si="0"/>
        <v>8.0089103398446104E-2</v>
      </c>
      <c r="K38" s="9"/>
      <c r="L38" s="9"/>
    </row>
    <row r="39" spans="2:12" x14ac:dyDescent="0.3">
      <c r="B39" s="12">
        <v>45108</v>
      </c>
      <c r="C39" s="1">
        <v>3.2099999999999997E-2</v>
      </c>
      <c r="D39" s="1">
        <v>2.0500000000000001E-2</v>
      </c>
      <c r="E39" s="1">
        <v>4.0599999999999997E-2</v>
      </c>
      <c r="F39" s="3">
        <v>4.5000000000000014E-3</v>
      </c>
      <c r="G39" s="3">
        <v>0.11018179520759699</v>
      </c>
      <c r="H39" s="3">
        <f t="shared" si="0"/>
        <v>0.10568179520759699</v>
      </c>
      <c r="K39" s="9"/>
      <c r="L39" s="9"/>
    </row>
    <row r="40" spans="2:12" x14ac:dyDescent="0.3">
      <c r="B40" s="12">
        <v>45139</v>
      </c>
      <c r="C40" s="1">
        <v>-2.3599999999999999E-2</v>
      </c>
      <c r="D40" s="1">
        <v>-3.1399999999999997E-2</v>
      </c>
      <c r="E40" s="1">
        <v>-1.15E-2</v>
      </c>
      <c r="F40" s="3">
        <v>4.5000000000000014E-3</v>
      </c>
      <c r="G40" s="3">
        <v>-7.12806774577317E-2</v>
      </c>
      <c r="H40" s="3">
        <f t="shared" si="0"/>
        <v>-7.5780677457731704E-2</v>
      </c>
      <c r="K40" s="9"/>
      <c r="L40" s="9"/>
    </row>
    <row r="41" spans="2:12" x14ac:dyDescent="0.3">
      <c r="B41" s="12">
        <v>45170</v>
      </c>
      <c r="C41" s="1">
        <v>-5.2300000000000013E-2</v>
      </c>
      <c r="D41" s="1">
        <v>-2.5100000000000001E-2</v>
      </c>
      <c r="E41" s="1">
        <v>1.49E-2</v>
      </c>
      <c r="F41" s="3">
        <v>4.3E-3</v>
      </c>
      <c r="G41" s="3">
        <v>1.459993731088627E-2</v>
      </c>
      <c r="H41" s="3">
        <f t="shared" si="0"/>
        <v>1.029993731088627E-2</v>
      </c>
      <c r="K41" s="9"/>
      <c r="L41" s="9"/>
    </row>
    <row r="42" spans="2:12" x14ac:dyDescent="0.3">
      <c r="B42" s="12">
        <v>45200</v>
      </c>
      <c r="C42" s="1">
        <v>-3.15E-2</v>
      </c>
      <c r="D42" s="1">
        <v>-3.8600000000000002E-2</v>
      </c>
      <c r="E42" s="1">
        <v>2E-3</v>
      </c>
      <c r="F42" s="3">
        <v>4.6999999999999993E-3</v>
      </c>
      <c r="G42" s="3">
        <v>3.5308481149787241E-3</v>
      </c>
      <c r="H42" s="3">
        <f t="shared" si="0"/>
        <v>-1.1691518850212752E-3</v>
      </c>
      <c r="K42" s="9"/>
      <c r="L42" s="9"/>
    </row>
    <row r="43" spans="2:12" x14ac:dyDescent="0.3">
      <c r="B43" s="12">
        <v>45231</v>
      </c>
      <c r="C43" s="1">
        <v>8.8800000000000004E-2</v>
      </c>
      <c r="D43" s="1">
        <v>-1E-3</v>
      </c>
      <c r="E43" s="1">
        <v>1.67E-2</v>
      </c>
      <c r="F43" s="3">
        <v>4.4000000000000003E-3</v>
      </c>
      <c r="G43" s="3">
        <v>8.5903103921504131E-2</v>
      </c>
      <c r="H43" s="3">
        <f t="shared" si="0"/>
        <v>8.150310392150413E-2</v>
      </c>
      <c r="J43" t="s">
        <v>6</v>
      </c>
      <c r="K43" s="9"/>
      <c r="L43" s="9"/>
    </row>
    <row r="44" spans="2:12" x14ac:dyDescent="0.3">
      <c r="B44" s="12">
        <v>45261</v>
      </c>
      <c r="C44" s="1">
        <v>4.8499999999999988E-2</v>
      </c>
      <c r="D44" s="1">
        <v>6.3E-2</v>
      </c>
      <c r="E44" s="1">
        <v>4.8899999999999999E-2</v>
      </c>
      <c r="F44" s="3">
        <v>4.3E-3</v>
      </c>
      <c r="G44" s="3">
        <v>8.1949987638187505E-2</v>
      </c>
      <c r="H44" s="3">
        <f t="shared" si="0"/>
        <v>7.7649987638187506E-2</v>
      </c>
      <c r="K44" s="9"/>
      <c r="L44" s="9"/>
    </row>
    <row r="45" spans="2:12" x14ac:dyDescent="0.3">
      <c r="B45" s="12">
        <v>45292</v>
      </c>
      <c r="C45" s="1">
        <v>7.3000000000000001E-3</v>
      </c>
      <c r="D45" s="1">
        <v>-5.0700000000000002E-2</v>
      </c>
      <c r="E45" s="1">
        <v>-2.3800000000000002E-2</v>
      </c>
      <c r="F45" s="3">
        <v>4.6999999999999993E-3</v>
      </c>
      <c r="G45" s="3">
        <v>0.10221510453718841</v>
      </c>
      <c r="H45" s="3">
        <f t="shared" si="0"/>
        <v>9.751510453718841E-2</v>
      </c>
      <c r="J45" t="s">
        <v>6</v>
      </c>
      <c r="K45" s="9"/>
      <c r="L45" s="9"/>
    </row>
    <row r="46" spans="2:12" x14ac:dyDescent="0.3">
      <c r="B46" s="12">
        <v>45323</v>
      </c>
      <c r="C46" s="1">
        <v>5.0700000000000002E-2</v>
      </c>
      <c r="D46" s="1">
        <v>-2.3999999999999998E-3</v>
      </c>
      <c r="E46" s="1">
        <v>-3.4299999999999997E-2</v>
      </c>
      <c r="F46" s="3">
        <v>4.1999999999999997E-3</v>
      </c>
      <c r="G46" s="3">
        <v>0.25629254189658529</v>
      </c>
      <c r="H46" s="3">
        <f t="shared" si="0"/>
        <v>0.25209254189658531</v>
      </c>
      <c r="K46" s="9"/>
      <c r="L46" s="9"/>
    </row>
    <row r="47" spans="2:12" x14ac:dyDescent="0.3">
      <c r="B47" s="12">
        <v>45352</v>
      </c>
      <c r="C47" s="1">
        <v>2.8400000000000002E-2</v>
      </c>
      <c r="D47" s="1">
        <v>-2.5000000000000001E-2</v>
      </c>
      <c r="E47" s="1">
        <v>4.1599999999999998E-2</v>
      </c>
      <c r="F47" s="3">
        <v>4.3E-3</v>
      </c>
      <c r="G47" s="3">
        <v>-8.2321530356848083E-3</v>
      </c>
      <c r="H47" s="3">
        <f t="shared" si="0"/>
        <v>-1.2532153035684808E-2</v>
      </c>
      <c r="K47" s="9"/>
      <c r="L47" s="9"/>
    </row>
    <row r="48" spans="2:12" x14ac:dyDescent="0.3">
      <c r="B48" s="12">
        <v>45383</v>
      </c>
      <c r="C48" s="1">
        <v>-4.6500000000000007E-2</v>
      </c>
      <c r="D48" s="1">
        <v>-2.3699999999999999E-2</v>
      </c>
      <c r="E48" s="1">
        <v>-4.5000000000000014E-3</v>
      </c>
      <c r="F48" s="3">
        <v>4.6999999999999993E-3</v>
      </c>
      <c r="G48" s="3">
        <v>-0.11411085422167699</v>
      </c>
      <c r="H48" s="3">
        <f t="shared" si="0"/>
        <v>-0.11881085422167699</v>
      </c>
      <c r="K48" s="9"/>
      <c r="L48" s="9"/>
    </row>
    <row r="49" spans="2:12" x14ac:dyDescent="0.3">
      <c r="B49" s="12">
        <v>45413</v>
      </c>
      <c r="C49" s="1">
        <v>4.3299999999999998E-2</v>
      </c>
      <c r="D49" s="1">
        <v>5.5000000000000014E-3</v>
      </c>
      <c r="E49" s="1">
        <v>-1.3100000000000001E-2</v>
      </c>
      <c r="F49" s="3">
        <v>4.4000000000000003E-3</v>
      </c>
      <c r="G49" s="3">
        <v>8.5222083508588842E-2</v>
      </c>
      <c r="H49" s="3">
        <f t="shared" si="0"/>
        <v>8.0822083508588841E-2</v>
      </c>
      <c r="K49" s="9"/>
      <c r="L49" s="9"/>
    </row>
    <row r="50" spans="2:12" x14ac:dyDescent="0.3">
      <c r="B50" s="12">
        <v>45444</v>
      </c>
      <c r="C50" s="1">
        <v>2.8000000000000001E-2</v>
      </c>
      <c r="D50" s="1">
        <v>-0.03</v>
      </c>
      <c r="E50" s="1">
        <v>-3.3599999999999998E-2</v>
      </c>
      <c r="F50" s="3">
        <v>4.0999999999999986E-3</v>
      </c>
      <c r="G50" s="3">
        <v>8.0093501129637534E-2</v>
      </c>
      <c r="H50" s="3">
        <f t="shared" si="0"/>
        <v>7.5993501129637542E-2</v>
      </c>
      <c r="K50" s="9"/>
      <c r="L50" s="9"/>
    </row>
    <row r="51" spans="2:12" x14ac:dyDescent="0.3">
      <c r="B51" s="12">
        <v>45474</v>
      </c>
      <c r="C51" s="1">
        <v>1.2200000000000001E-2</v>
      </c>
      <c r="D51" s="1">
        <v>6.8099999999999994E-2</v>
      </c>
      <c r="E51" s="1">
        <v>5.62E-2</v>
      </c>
      <c r="F51" s="3">
        <v>4.5000000000000014E-3</v>
      </c>
      <c r="G51" s="3">
        <v>-5.7353152295532513E-2</v>
      </c>
      <c r="H51" s="3">
        <f t="shared" si="0"/>
        <v>-6.1853152295532517E-2</v>
      </c>
      <c r="K51" s="9"/>
      <c r="L51" s="9"/>
    </row>
    <row r="52" spans="2:12" x14ac:dyDescent="0.3">
      <c r="B52" s="12">
        <v>45505</v>
      </c>
      <c r="C52" s="1">
        <v>1.6E-2</v>
      </c>
      <c r="D52" s="1">
        <v>-3.49E-2</v>
      </c>
      <c r="E52" s="1">
        <v>-1.0999999999999999E-2</v>
      </c>
      <c r="F52" s="3">
        <v>4.7999999999999996E-3</v>
      </c>
      <c r="G52" s="3">
        <v>9.7887573557867924E-2</v>
      </c>
      <c r="H52" s="3">
        <f t="shared" si="0"/>
        <v>9.3087573557867925E-2</v>
      </c>
      <c r="J52" t="s">
        <v>6</v>
      </c>
      <c r="K52" s="9"/>
      <c r="L52" s="9"/>
    </row>
    <row r="53" spans="2:12" x14ac:dyDescent="0.3">
      <c r="B53" s="12">
        <v>45536</v>
      </c>
      <c r="C53" s="1">
        <v>1.72E-2</v>
      </c>
      <c r="D53" s="1">
        <v>-1.2999999999999999E-3</v>
      </c>
      <c r="E53" s="1">
        <v>-2.7699999999999999E-2</v>
      </c>
      <c r="F53" s="3">
        <v>4.0000000000000001E-3</v>
      </c>
      <c r="G53" s="3">
        <v>9.8079929424967238E-2</v>
      </c>
      <c r="H53" s="3">
        <f t="shared" si="0"/>
        <v>9.4079929424967235E-2</v>
      </c>
      <c r="K53" s="9"/>
      <c r="L53" s="9"/>
    </row>
    <row r="54" spans="2:12" x14ac:dyDescent="0.3">
      <c r="B54" s="12">
        <v>45566</v>
      </c>
      <c r="C54" s="1">
        <v>-0.01</v>
      </c>
      <c r="D54" s="1">
        <v>-9.8999999999999991E-3</v>
      </c>
      <c r="E54" s="1">
        <v>8.6E-3</v>
      </c>
      <c r="F54" s="3">
        <v>3.8999999999999998E-3</v>
      </c>
      <c r="G54" s="3">
        <v>-7.5440354460803993E-3</v>
      </c>
      <c r="H54" s="3">
        <f t="shared" si="0"/>
        <v>-1.14440354460804E-2</v>
      </c>
      <c r="J54" t="s">
        <v>6</v>
      </c>
      <c r="K54" s="9"/>
      <c r="L54" s="9"/>
    </row>
    <row r="55" spans="2:12" x14ac:dyDescent="0.3">
      <c r="B55" s="12">
        <v>45597</v>
      </c>
      <c r="C55" s="1">
        <v>6.4899999999999999E-2</v>
      </c>
      <c r="D55" s="1">
        <v>4.4600000000000001E-2</v>
      </c>
      <c r="E55" s="1">
        <v>1.5E-3</v>
      </c>
      <c r="F55" s="3">
        <v>4.0000000000000001E-3</v>
      </c>
      <c r="G55" s="3">
        <v>1.1874943859818909E-2</v>
      </c>
      <c r="H55" s="3">
        <f t="shared" si="0"/>
        <v>7.8749438598189093E-3</v>
      </c>
      <c r="K55" s="9"/>
      <c r="L55" s="9"/>
    </row>
    <row r="56" spans="2:12" x14ac:dyDescent="0.3">
      <c r="B56" s="12">
        <v>45627</v>
      </c>
      <c r="C56" s="1">
        <v>-3.1699999999999999E-2</v>
      </c>
      <c r="D56" s="1">
        <v>-2.7099999999999999E-2</v>
      </c>
      <c r="E56" s="1">
        <v>-0.03</v>
      </c>
      <c r="F56" s="3">
        <v>3.7000000000000002E-3</v>
      </c>
      <c r="G56" s="3">
        <v>1.9484087523953031E-2</v>
      </c>
      <c r="H56" s="3">
        <f t="shared" si="0"/>
        <v>1.5784087523953029E-2</v>
      </c>
      <c r="K56" s="9"/>
      <c r="L56" s="9"/>
    </row>
    <row r="57" spans="2:12" x14ac:dyDescent="0.3">
      <c r="B57" s="12">
        <v>45658</v>
      </c>
      <c r="C57" s="1">
        <v>2.8000000000000001E-2</v>
      </c>
      <c r="D57" s="1">
        <v>-1.9699999999999999E-2</v>
      </c>
      <c r="E57" s="1">
        <v>1.6299999999999999E-2</v>
      </c>
      <c r="F57" s="3">
        <v>3.7000000000000002E-3</v>
      </c>
      <c r="G57" s="3">
        <v>0.1780085786333736</v>
      </c>
      <c r="H57" s="3">
        <f t="shared" si="0"/>
        <v>0.1743085786333736</v>
      </c>
      <c r="K57" s="9"/>
      <c r="L57" s="9"/>
    </row>
    <row r="58" spans="2:12" x14ac:dyDescent="0.3">
      <c r="B58" s="12">
        <v>45689</v>
      </c>
      <c r="C58" s="1">
        <v>-2.4400000000000002E-2</v>
      </c>
      <c r="D58" s="1">
        <v>-5.79E-2</v>
      </c>
      <c r="E58" s="1">
        <v>4.9099999999999998E-2</v>
      </c>
      <c r="F58" s="3">
        <v>3.3E-3</v>
      </c>
      <c r="G58" s="3">
        <v>-3.0441991497713539E-2</v>
      </c>
      <c r="H58" s="3">
        <f t="shared" si="0"/>
        <v>-3.3741991497713536E-2</v>
      </c>
      <c r="K58" s="9"/>
      <c r="L58" s="9"/>
    </row>
    <row r="59" spans="2:12" x14ac:dyDescent="0.3">
      <c r="B59" s="12">
        <v>45717</v>
      </c>
      <c r="C59" s="1">
        <v>-6.3899999999999998E-2</v>
      </c>
      <c r="D59" s="1">
        <v>-2.76E-2</v>
      </c>
      <c r="E59" s="1">
        <v>2.9000000000000001E-2</v>
      </c>
      <c r="F59" s="3">
        <v>3.3999999999999998E-3</v>
      </c>
      <c r="G59" s="3">
        <v>-0.13744382466468899</v>
      </c>
      <c r="H59" s="3">
        <f t="shared" si="0"/>
        <v>-0.14084382466468898</v>
      </c>
      <c r="K59" s="9"/>
      <c r="L59" s="9"/>
    </row>
    <row r="60" spans="2:12" x14ac:dyDescent="0.3">
      <c r="B60" s="12">
        <v>45748</v>
      </c>
      <c r="C60" s="1">
        <v>-8.3999999999999995E-3</v>
      </c>
      <c r="D60" s="1">
        <v>-5.8999999999999999E-3</v>
      </c>
      <c r="E60" s="1">
        <v>-3.4000000000000002E-2</v>
      </c>
      <c r="F60" s="3">
        <v>3.5000000000000001E-3</v>
      </c>
      <c r="G60" s="3">
        <v>-4.6622904224074668E-2</v>
      </c>
      <c r="H60" s="3">
        <f t="shared" si="0"/>
        <v>-5.0122904224074671E-2</v>
      </c>
      <c r="K60" s="9"/>
      <c r="L60" s="9"/>
    </row>
    <row r="61" spans="2:12" x14ac:dyDescent="0.3">
      <c r="B61" s="12">
        <v>45778</v>
      </c>
      <c r="C61" s="1">
        <v>6.0599999999999987E-2</v>
      </c>
      <c r="D61" s="1">
        <v>6.9999999999999993E-3</v>
      </c>
      <c r="E61" s="1">
        <v>-2.8799999999999999E-2</v>
      </c>
      <c r="F61" s="3">
        <v>3.8E-3</v>
      </c>
      <c r="G61" s="3">
        <v>0.1793988067772769</v>
      </c>
      <c r="H61" s="3">
        <f t="shared" si="0"/>
        <v>0.17559880677727691</v>
      </c>
      <c r="K61" s="9"/>
      <c r="L61" s="9"/>
    </row>
    <row r="62" spans="2:12" x14ac:dyDescent="0.3">
      <c r="B62" s="12">
        <v>45809</v>
      </c>
      <c r="C62" s="1">
        <v>4.8599999999999997E-2</v>
      </c>
      <c r="D62" s="1">
        <v>8.3000000000000001E-3</v>
      </c>
      <c r="E62" s="1">
        <v>-1.61E-2</v>
      </c>
      <c r="F62" s="3">
        <v>3.3999999999999998E-3</v>
      </c>
      <c r="G62" s="3">
        <v>0.13992515685853801</v>
      </c>
      <c r="H62" s="3">
        <f t="shared" si="0"/>
        <v>0.13652515685853803</v>
      </c>
      <c r="K62" s="9"/>
      <c r="L62" s="9"/>
    </row>
    <row r="63" spans="2:12" x14ac:dyDescent="0.3">
      <c r="B63" s="12">
        <v>45839</v>
      </c>
      <c r="C63" s="1">
        <v>1.9800000000000002E-2</v>
      </c>
      <c r="D63" s="1">
        <v>2.7000000000000001E-3</v>
      </c>
      <c r="E63" s="1">
        <v>-1.2699999999999999E-2</v>
      </c>
      <c r="F63" s="3">
        <v>3.3999999999999998E-3</v>
      </c>
      <c r="G63" s="3">
        <v>4.8700021051619517E-2</v>
      </c>
      <c r="H63" s="3">
        <f t="shared" si="0"/>
        <v>4.5300021051619517E-2</v>
      </c>
      <c r="K63" s="9"/>
      <c r="L63" s="9"/>
    </row>
    <row r="64" spans="2:12" x14ac:dyDescent="0.3">
      <c r="B64" s="12">
        <v>45870</v>
      </c>
      <c r="C64" s="1">
        <v>1.84E-2</v>
      </c>
      <c r="D64" s="1">
        <v>3.8699999999999998E-2</v>
      </c>
      <c r="E64" s="1">
        <v>4.4200000000000003E-2</v>
      </c>
      <c r="F64" s="3">
        <v>3.8E-3</v>
      </c>
      <c r="G64" s="3">
        <v>-4.4916160956926743E-2</v>
      </c>
      <c r="H64" s="3">
        <f t="shared" si="0"/>
        <v>-4.8716160956926741E-2</v>
      </c>
      <c r="K64" s="9"/>
      <c r="L64" s="9"/>
    </row>
    <row r="65" spans="2:12" x14ac:dyDescent="0.3">
      <c r="B65" s="12">
        <v>45901</v>
      </c>
      <c r="C65" s="1">
        <v>3.39E-2</v>
      </c>
      <c r="D65" s="1">
        <v>-1.8499999999999999E-2</v>
      </c>
      <c r="E65" s="1">
        <v>-1.0500000000000001E-2</v>
      </c>
      <c r="F65" s="3">
        <v>3.3E-3</v>
      </c>
      <c r="G65" s="3">
        <v>-5.8481525865211603E-3</v>
      </c>
      <c r="H65" s="3">
        <f t="shared" si="0"/>
        <v>-9.1481525865211612E-3</v>
      </c>
      <c r="K65" s="9"/>
      <c r="L65" s="9"/>
    </row>
    <row r="66" spans="2:12" x14ac:dyDescent="0.3">
      <c r="B66" s="12">
        <v>45931</v>
      </c>
      <c r="C66" s="1">
        <v>1.9599999999999999E-2</v>
      </c>
      <c r="D66" s="1">
        <v>-5.5000000000000014E-3</v>
      </c>
      <c r="E66" s="1">
        <v>-3.09E-2</v>
      </c>
      <c r="F66" s="3">
        <v>3.7000000000000002E-3</v>
      </c>
      <c r="G66" s="3">
        <v>-0.11655055930631231</v>
      </c>
      <c r="H66" s="3">
        <f t="shared" si="0"/>
        <v>-0.1202505593063123</v>
      </c>
      <c r="K66" s="9"/>
      <c r="L66" s="9"/>
    </row>
    <row r="67" spans="2:12" x14ac:dyDescent="0.3">
      <c r="B67" s="12">
        <v>45962</v>
      </c>
      <c r="C67" s="1">
        <v>-1.2999999999999999E-3</v>
      </c>
      <c r="D67" s="1">
        <v>3.8E-3</v>
      </c>
      <c r="E67" s="1">
        <v>3.7599999999999988E-2</v>
      </c>
      <c r="F67" s="3">
        <v>3.0000000000000001E-3</v>
      </c>
      <c r="G67" s="3">
        <v>-6.1692627881715367E-4</v>
      </c>
      <c r="H67" s="3">
        <f t="shared" si="0"/>
        <v>-3.6169262788171537E-3</v>
      </c>
      <c r="K67" s="9"/>
      <c r="L67" s="9"/>
    </row>
    <row r="68" spans="2:12" x14ac:dyDescent="0.3">
      <c r="B68" s="12">
        <v>45992</v>
      </c>
      <c r="C68" s="1">
        <v>-3.5999999999999999E-3</v>
      </c>
      <c r="D68" s="1">
        <v>-1.06E-2</v>
      </c>
      <c r="E68" s="1">
        <v>2.4199999999999999E-2</v>
      </c>
      <c r="F68" s="3">
        <v>3.3999999999999998E-3</v>
      </c>
      <c r="G68" s="3">
        <v>1.8736043891025789E-2</v>
      </c>
      <c r="H68" s="3">
        <f t="shared" si="0"/>
        <v>1.5336043891025788E-2</v>
      </c>
      <c r="K68" s="9"/>
      <c r="L68" s="9"/>
    </row>
    <row r="69" spans="2:12" x14ac:dyDescent="0.3">
      <c r="K69" s="9"/>
      <c r="L69" s="9"/>
    </row>
    <row r="70" spans="2:12" x14ac:dyDescent="0.3">
      <c r="K70" s="9"/>
      <c r="L70" s="9"/>
    </row>
    <row r="71" spans="2:12" x14ac:dyDescent="0.3">
      <c r="K71" s="9"/>
      <c r="L71" s="9"/>
    </row>
    <row r="72" spans="2:12" x14ac:dyDescent="0.3">
      <c r="K72" s="9"/>
      <c r="L72" s="9"/>
    </row>
    <row r="73" spans="2:12" x14ac:dyDescent="0.3">
      <c r="K73" s="9"/>
      <c r="L73" s="9"/>
    </row>
    <row r="74" spans="2:12" x14ac:dyDescent="0.3">
      <c r="K74" s="9"/>
      <c r="L74" s="9"/>
    </row>
    <row r="75" spans="2:12" x14ac:dyDescent="0.3">
      <c r="K75" s="9"/>
      <c r="L75" s="9"/>
    </row>
    <row r="76" spans="2:12" x14ac:dyDescent="0.3">
      <c r="K76" s="9"/>
      <c r="L76" s="9"/>
    </row>
    <row r="77" spans="2:12" x14ac:dyDescent="0.3">
      <c r="J77" t="s">
        <v>6</v>
      </c>
      <c r="K77" s="9"/>
      <c r="L77" s="9"/>
    </row>
    <row r="78" spans="2:12" x14ac:dyDescent="0.3">
      <c r="K78" s="9"/>
      <c r="L78" s="9"/>
    </row>
    <row r="79" spans="2:12" x14ac:dyDescent="0.3">
      <c r="J79" t="s">
        <v>6</v>
      </c>
      <c r="K79" s="9"/>
      <c r="L79" s="9"/>
    </row>
    <row r="80" spans="2:12" x14ac:dyDescent="0.3">
      <c r="K80" s="9"/>
      <c r="L80" s="9"/>
    </row>
    <row r="81" spans="10:12" x14ac:dyDescent="0.3">
      <c r="K81" s="9"/>
      <c r="L81" s="9"/>
    </row>
    <row r="82" spans="10:12" x14ac:dyDescent="0.3">
      <c r="K82" s="9"/>
      <c r="L82" s="9"/>
    </row>
    <row r="83" spans="10:12" x14ac:dyDescent="0.3">
      <c r="K83" s="9"/>
      <c r="L83" s="9"/>
    </row>
    <row r="84" spans="10:12" x14ac:dyDescent="0.3">
      <c r="K84" s="9"/>
      <c r="L84" s="9"/>
    </row>
    <row r="85" spans="10:12" x14ac:dyDescent="0.3">
      <c r="J85" t="s">
        <v>6</v>
      </c>
      <c r="K85" s="9"/>
      <c r="L85" s="9"/>
    </row>
    <row r="86" spans="10:12" x14ac:dyDescent="0.3">
      <c r="K86" s="9"/>
      <c r="L86" s="9"/>
    </row>
    <row r="87" spans="10:12" x14ac:dyDescent="0.3">
      <c r="J87" t="s">
        <v>6</v>
      </c>
      <c r="K87" s="9"/>
      <c r="L87" s="9"/>
    </row>
    <row r="88" spans="10:12" x14ac:dyDescent="0.3">
      <c r="K88" s="9"/>
      <c r="L88" s="9"/>
    </row>
    <row r="89" spans="10:12" x14ac:dyDescent="0.3">
      <c r="K89" s="9"/>
      <c r="L89" s="9"/>
    </row>
    <row r="90" spans="10:12" x14ac:dyDescent="0.3">
      <c r="K90" s="9"/>
      <c r="L90" s="9"/>
    </row>
    <row r="91" spans="10:12" x14ac:dyDescent="0.3">
      <c r="K91" s="9"/>
      <c r="L91" s="9"/>
    </row>
    <row r="92" spans="10:12" x14ac:dyDescent="0.3">
      <c r="K92" s="9"/>
      <c r="L92" s="9"/>
    </row>
    <row r="93" spans="10:12" x14ac:dyDescent="0.3">
      <c r="K93" s="9"/>
      <c r="L93" s="9"/>
    </row>
    <row r="94" spans="10:12" x14ac:dyDescent="0.3">
      <c r="K94" s="9"/>
      <c r="L94" s="9"/>
    </row>
    <row r="95" spans="10:12" x14ac:dyDescent="0.3">
      <c r="K95" s="9"/>
      <c r="L95" s="9"/>
    </row>
    <row r="96" spans="10:12" x14ac:dyDescent="0.3">
      <c r="K96" s="9"/>
      <c r="L96" s="9"/>
    </row>
    <row r="97" spans="10:12" x14ac:dyDescent="0.3">
      <c r="K97" s="9"/>
      <c r="L97" s="9"/>
    </row>
    <row r="98" spans="10:12" x14ac:dyDescent="0.3">
      <c r="K98" s="9"/>
      <c r="L98" s="9"/>
    </row>
    <row r="99" spans="10:12" x14ac:dyDescent="0.3">
      <c r="K99" s="9"/>
      <c r="L99" s="9"/>
    </row>
    <row r="100" spans="10:12" x14ac:dyDescent="0.3">
      <c r="K100" s="9"/>
      <c r="L100" s="9"/>
    </row>
    <row r="101" spans="10:12" x14ac:dyDescent="0.3">
      <c r="K101" s="9"/>
      <c r="L101" s="9"/>
    </row>
    <row r="102" spans="10:12" x14ac:dyDescent="0.3">
      <c r="K102" s="9"/>
      <c r="L102" s="9"/>
    </row>
    <row r="103" spans="10:12" x14ac:dyDescent="0.3">
      <c r="K103" s="9"/>
      <c r="L103" s="9"/>
    </row>
    <row r="104" spans="10:12" x14ac:dyDescent="0.3">
      <c r="K104" s="9"/>
      <c r="L104" s="9"/>
    </row>
    <row r="105" spans="10:12" x14ac:dyDescent="0.3">
      <c r="K105" s="9"/>
      <c r="L105" s="9"/>
    </row>
    <row r="106" spans="10:12" x14ac:dyDescent="0.3">
      <c r="K106" s="9"/>
      <c r="L106" s="9"/>
    </row>
    <row r="107" spans="10:12" x14ac:dyDescent="0.3">
      <c r="K107" s="9"/>
      <c r="L107" s="9"/>
    </row>
    <row r="108" spans="10:12" x14ac:dyDescent="0.3">
      <c r="K108" s="9"/>
      <c r="L108" s="9"/>
    </row>
    <row r="109" spans="10:12" x14ac:dyDescent="0.3">
      <c r="K109" s="9"/>
      <c r="L109" s="9"/>
    </row>
    <row r="110" spans="10:12" x14ac:dyDescent="0.3">
      <c r="J110" t="s">
        <v>6</v>
      </c>
      <c r="K110" s="9"/>
      <c r="L110" s="9"/>
    </row>
    <row r="111" spans="10:12" x14ac:dyDescent="0.3">
      <c r="K111" s="9"/>
      <c r="L111" s="9"/>
    </row>
    <row r="112" spans="10:12" x14ac:dyDescent="0.3">
      <c r="J112" t="s">
        <v>6</v>
      </c>
      <c r="K112" s="9"/>
      <c r="L112" s="9"/>
    </row>
    <row r="113" spans="10:12" x14ac:dyDescent="0.3">
      <c r="K113" s="9"/>
      <c r="L113" s="9"/>
    </row>
    <row r="114" spans="10:12" x14ac:dyDescent="0.3">
      <c r="K114" s="9"/>
      <c r="L114" s="9"/>
    </row>
    <row r="115" spans="10:12" x14ac:dyDescent="0.3">
      <c r="K115" s="9"/>
      <c r="L115" s="9"/>
    </row>
    <row r="116" spans="10:12" x14ac:dyDescent="0.3">
      <c r="K116" s="9"/>
      <c r="L116" s="9"/>
    </row>
    <row r="117" spans="10:12" x14ac:dyDescent="0.3">
      <c r="K117" s="9"/>
      <c r="L117" s="9"/>
    </row>
    <row r="118" spans="10:12" x14ac:dyDescent="0.3">
      <c r="J118" t="s">
        <v>6</v>
      </c>
      <c r="K118" s="9"/>
      <c r="L118" s="9"/>
    </row>
    <row r="119" spans="10:12" x14ac:dyDescent="0.3">
      <c r="K119" s="9"/>
      <c r="L119" s="9"/>
    </row>
    <row r="120" spans="10:12" x14ac:dyDescent="0.3">
      <c r="J120" t="s">
        <v>6</v>
      </c>
      <c r="K120" s="9"/>
      <c r="L120" s="9"/>
    </row>
    <row r="121" spans="10:12" x14ac:dyDescent="0.3">
      <c r="K121" s="9"/>
      <c r="L121" s="9"/>
    </row>
    <row r="122" spans="10:12" x14ac:dyDescent="0.3">
      <c r="K122" s="9"/>
      <c r="L122" s="9"/>
    </row>
    <row r="123" spans="10:12" x14ac:dyDescent="0.3">
      <c r="K123" s="9"/>
      <c r="L123" s="9"/>
    </row>
    <row r="124" spans="10:12" x14ac:dyDescent="0.3">
      <c r="K124" s="9"/>
      <c r="L124" s="9"/>
    </row>
    <row r="125" spans="10:12" x14ac:dyDescent="0.3">
      <c r="K125" s="9"/>
      <c r="L125" s="9"/>
    </row>
    <row r="126" spans="10:12" x14ac:dyDescent="0.3">
      <c r="K126" s="9"/>
      <c r="L126" s="9"/>
    </row>
    <row r="127" spans="10:12" x14ac:dyDescent="0.3">
      <c r="K127" s="9"/>
      <c r="L127" s="9"/>
    </row>
    <row r="128" spans="10:12" x14ac:dyDescent="0.3">
      <c r="K128" s="9"/>
      <c r="L128" s="9"/>
    </row>
    <row r="129" spans="10:12" x14ac:dyDescent="0.3">
      <c r="K129" s="9"/>
      <c r="L129" s="9"/>
    </row>
    <row r="130" spans="10:12" x14ac:dyDescent="0.3">
      <c r="K130" s="9"/>
      <c r="L130" s="9"/>
    </row>
    <row r="131" spans="10:12" x14ac:dyDescent="0.3">
      <c r="K131" s="9"/>
      <c r="L131" s="9"/>
    </row>
    <row r="132" spans="10:12" x14ac:dyDescent="0.3">
      <c r="K132" s="9"/>
      <c r="L132" s="9"/>
    </row>
    <row r="133" spans="10:12" x14ac:dyDescent="0.3">
      <c r="K133" s="9"/>
      <c r="L133" s="9"/>
    </row>
    <row r="134" spans="10:12" x14ac:dyDescent="0.3">
      <c r="K134" s="9"/>
      <c r="L134" s="9"/>
    </row>
    <row r="135" spans="10:12" x14ac:dyDescent="0.3">
      <c r="K135" s="9"/>
      <c r="L135" s="9"/>
    </row>
    <row r="136" spans="10:12" x14ac:dyDescent="0.3">
      <c r="K136" s="9"/>
      <c r="L136" s="9"/>
    </row>
    <row r="137" spans="10:12" x14ac:dyDescent="0.3">
      <c r="K137" s="9"/>
      <c r="L137" s="9"/>
    </row>
    <row r="138" spans="10:12" x14ac:dyDescent="0.3">
      <c r="K138" s="9"/>
      <c r="L138" s="9"/>
    </row>
    <row r="139" spans="10:12" x14ac:dyDescent="0.3">
      <c r="K139" s="9"/>
      <c r="L139" s="9"/>
    </row>
    <row r="140" spans="10:12" x14ac:dyDescent="0.3">
      <c r="K140" s="9"/>
      <c r="L140" s="9"/>
    </row>
    <row r="141" spans="10:12" x14ac:dyDescent="0.3">
      <c r="K141" s="9"/>
      <c r="L141" s="9"/>
    </row>
    <row r="142" spans="10:12" x14ac:dyDescent="0.3">
      <c r="K142" s="9"/>
      <c r="L142" s="9"/>
    </row>
    <row r="143" spans="10:12" x14ac:dyDescent="0.3">
      <c r="J143" t="s">
        <v>6</v>
      </c>
      <c r="K143" s="9"/>
      <c r="L143" s="9"/>
    </row>
    <row r="144" spans="10:12" x14ac:dyDescent="0.3">
      <c r="K144" s="9"/>
      <c r="L144" s="9"/>
    </row>
    <row r="145" spans="10:12" x14ac:dyDescent="0.3">
      <c r="J145" t="s">
        <v>6</v>
      </c>
      <c r="K145" s="9"/>
      <c r="L145" s="9"/>
    </row>
    <row r="146" spans="10:12" x14ac:dyDescent="0.3">
      <c r="K146" s="9"/>
      <c r="L146" s="9"/>
    </row>
    <row r="147" spans="10:12" x14ac:dyDescent="0.3">
      <c r="K147" s="9"/>
      <c r="L147" s="9"/>
    </row>
    <row r="148" spans="10:12" x14ac:dyDescent="0.3">
      <c r="K148" s="9"/>
      <c r="L148" s="9"/>
    </row>
    <row r="149" spans="10:12" x14ac:dyDescent="0.3">
      <c r="K149" s="9"/>
      <c r="L149" s="9"/>
    </row>
    <row r="150" spans="10:12" x14ac:dyDescent="0.3">
      <c r="J150" s="10"/>
      <c r="K150" s="10"/>
      <c r="L150" s="10"/>
    </row>
    <row r="151" spans="10:12" x14ac:dyDescent="0.3">
      <c r="J151" s="10"/>
      <c r="K151" s="10"/>
      <c r="L151" s="10"/>
    </row>
    <row r="152" spans="10:12" x14ac:dyDescent="0.3">
      <c r="J152" s="10"/>
      <c r="K152" s="10"/>
      <c r="L152" s="10"/>
    </row>
    <row r="153" spans="10:12" x14ac:dyDescent="0.3">
      <c r="J153" s="10"/>
      <c r="K153" s="10"/>
      <c r="L153" s="10"/>
    </row>
    <row r="154" spans="10:12" x14ac:dyDescent="0.3">
      <c r="J154" s="10"/>
      <c r="K154" s="10"/>
      <c r="L154" s="10"/>
    </row>
    <row r="155" spans="10:12" x14ac:dyDescent="0.3">
      <c r="J155" s="10"/>
      <c r="K155" s="10"/>
      <c r="L155" s="10"/>
    </row>
    <row r="156" spans="10:12" x14ac:dyDescent="0.3">
      <c r="J156" s="10"/>
      <c r="K156" s="10"/>
      <c r="L156" s="10"/>
    </row>
    <row r="157" spans="10:12" x14ac:dyDescent="0.3">
      <c r="J157" s="10"/>
      <c r="K157" s="10"/>
      <c r="L157" s="10"/>
    </row>
    <row r="158" spans="10:12" x14ac:dyDescent="0.3">
      <c r="J158" s="10"/>
      <c r="K158" s="10"/>
      <c r="L158" s="10"/>
    </row>
    <row r="159" spans="10:12" x14ac:dyDescent="0.3">
      <c r="J159" s="10"/>
      <c r="K159" s="10"/>
      <c r="L159" s="10"/>
    </row>
    <row r="160" spans="10:12" x14ac:dyDescent="0.3">
      <c r="J160" s="10"/>
      <c r="K160" s="10"/>
      <c r="L160" s="10"/>
    </row>
    <row r="161" spans="10:12" x14ac:dyDescent="0.3">
      <c r="J161" s="10"/>
      <c r="K161" s="10"/>
      <c r="L161" s="10"/>
    </row>
    <row r="162" spans="10:12" x14ac:dyDescent="0.3">
      <c r="J162" s="10"/>
      <c r="K162" s="10"/>
      <c r="L162" s="10"/>
    </row>
    <row r="163" spans="10:12" x14ac:dyDescent="0.3">
      <c r="J163" s="10"/>
      <c r="K163" s="10"/>
      <c r="L163" s="10"/>
    </row>
    <row r="164" spans="10:12" x14ac:dyDescent="0.3">
      <c r="J164" s="10"/>
      <c r="K164" s="10"/>
      <c r="L164" s="10"/>
    </row>
    <row r="165" spans="10:12" x14ac:dyDescent="0.3">
      <c r="J165" s="10"/>
      <c r="K165" s="10"/>
      <c r="L165" s="10"/>
    </row>
    <row r="166" spans="10:12" x14ac:dyDescent="0.3">
      <c r="J166" s="10"/>
      <c r="K166" s="10"/>
      <c r="L166" s="10"/>
    </row>
    <row r="167" spans="10:12" x14ac:dyDescent="0.3">
      <c r="J167" s="10"/>
      <c r="K167" s="10"/>
      <c r="L167" s="10"/>
    </row>
    <row r="168" spans="10:12" x14ac:dyDescent="0.3">
      <c r="J168" s="10"/>
      <c r="K168" s="10"/>
      <c r="L168" s="10"/>
    </row>
    <row r="169" spans="10:12" x14ac:dyDescent="0.3">
      <c r="J169" s="10"/>
      <c r="K169" s="10"/>
      <c r="L169" s="10"/>
    </row>
    <row r="170" spans="10:12" x14ac:dyDescent="0.3">
      <c r="J170" s="10"/>
      <c r="K170" s="10"/>
      <c r="L170" s="10"/>
    </row>
    <row r="171" spans="10:12" x14ac:dyDescent="0.3">
      <c r="J171" s="10"/>
      <c r="K171" s="10"/>
      <c r="L171" s="10"/>
    </row>
    <row r="172" spans="10:12" x14ac:dyDescent="0.3">
      <c r="J172" s="10"/>
      <c r="K172" s="10"/>
      <c r="L172" s="10"/>
    </row>
    <row r="173" spans="10:12" x14ac:dyDescent="0.3">
      <c r="J173" s="10"/>
      <c r="K173" s="10"/>
      <c r="L173" s="10"/>
    </row>
    <row r="174" spans="10:12" x14ac:dyDescent="0.3">
      <c r="J174" s="10"/>
      <c r="K174" s="10"/>
      <c r="L174" s="10"/>
    </row>
    <row r="175" spans="10:12" x14ac:dyDescent="0.3">
      <c r="J175" s="10"/>
      <c r="K175" s="10"/>
      <c r="L175" s="10"/>
    </row>
    <row r="176" spans="10:12" x14ac:dyDescent="0.3">
      <c r="J176" s="10"/>
      <c r="K176" s="10"/>
      <c r="L176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Mohanad A</cp:lastModifiedBy>
  <dcterms:created xsi:type="dcterms:W3CDTF">2026-02-26T21:24:43Z</dcterms:created>
  <dcterms:modified xsi:type="dcterms:W3CDTF">2026-02-26T22:00:04Z</dcterms:modified>
</cp:coreProperties>
</file>