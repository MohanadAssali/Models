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models\META\"/>
    </mc:Choice>
  </mc:AlternateContent>
  <xr:revisionPtr revIDLastSave="0" documentId="13_ncr:1_{B792EF45-57F9-410A-B686-AA7201E853D8}" xr6:coauthVersionLast="47" xr6:coauthVersionMax="47" xr10:uidLastSave="{00000000-0000-0000-0000-000000000000}"/>
  <bookViews>
    <workbookView xWindow="-28920" yWindow="660" windowWidth="29040" windowHeight="15720" xr2:uid="{00000000-000D-0000-FFFF-FFFF00000000}"/>
  </bookViews>
  <sheets>
    <sheet name="Beta Regression" sheetId="1" r:id="rId1"/>
  </sheets>
  <calcPr calcId="191029"/>
</workbook>
</file>

<file path=xl/calcChain.xml><?xml version="1.0" encoding="utf-8"?>
<calcChain xmlns="http://schemas.openxmlformats.org/spreadsheetml/2006/main">
  <c r="N28" i="1" l="1"/>
  <c r="E10" i="1" l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F9" i="1"/>
  <c r="E9" i="1"/>
</calcChain>
</file>

<file path=xl/sharedStrings.xml><?xml version="1.0" encoding="utf-8"?>
<sst xmlns="http://schemas.openxmlformats.org/spreadsheetml/2006/main" count="53" uniqueCount="36">
  <si>
    <t>META</t>
  </si>
  <si>
    <t>Date</t>
  </si>
  <si>
    <t>SP500</t>
  </si>
  <si>
    <t>SP500 Wkly Returns</t>
  </si>
  <si>
    <t>META Wkly Returns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</si>
  <si>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</si>
  <si>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</si>
  <si>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</si>
  <si>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</si>
  <si>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</si>
  <si>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</si>
  <si>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</si>
  <si>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</si>
  <si>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</si>
  <si>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</si>
  <si>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</si>
  <si>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</si>
  <si>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</si>
  <si>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</si>
  <si>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</si>
  <si>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</si>
  <si>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</si>
  <si>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</si>
  <si>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</si>
  <si>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</si>
  <si>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</si>
  <si>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</si>
  <si>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</si>
  <si>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</si>
  <si>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</si>
  <si>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Adjusted Beta</t>
  </si>
  <si>
    <t xml:space="preserve">‎ </t>
  </si>
  <si>
    <t>(Blume Adjustment)</t>
  </si>
  <si>
    <t>Source: Weekly Adjusted Close prices via Yahoo Finance (5-Year Period)</t>
  </si>
  <si>
    <t>Mohanad Assali</t>
  </si>
  <si>
    <t>Adjusted Beta - Regression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</si>
</sst>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14" fontId="0" fillId="2" borderId="0" xfId="0" applyNumberFormat="1" applyFill="1"/>
    <xf numFmtId="4" fontId="0" fillId="2" borderId="0" xfId="0" applyNumberFormat="1" applyFill="1"/>
    <xf numFmtId="0" fontId="0" fillId="3" borderId="0" xfId="0" applyFill="1"/>
    <xf numFmtId="14" fontId="1" fillId="0" borderId="1" xfId="0" applyNumberFormat="1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4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0" fillId="0" borderId="4" xfId="0" applyBorder="1"/>
    <xf numFmtId="10" fontId="0" fillId="0" borderId="1" xfId="0" applyNumberFormat="1" applyBorder="1"/>
    <xf numFmtId="0" fontId="0" fillId="0" borderId="6" xfId="0" applyBorder="1"/>
    <xf numFmtId="0" fontId="1" fillId="0" borderId="0" xfId="0" applyFont="1" applyAlignment="1">
      <alignment horizontal="left" vertical="top"/>
    </xf>
    <xf numFmtId="10" fontId="0" fillId="0" borderId="0" xfId="0" applyNumberFormat="1"/>
    <xf numFmtId="0" fontId="4" fillId="3" borderId="0" xfId="0" applyFont="1" applyFill="1"/>
    <xf numFmtId="164" fontId="0" fillId="3" borderId="5" xfId="0" applyNumberFormat="1" applyFill="1" applyBorder="1"/>
    <xf numFmtId="4" fontId="3" fillId="2" borderId="0" xfId="0" applyNumberFormat="1" applyFont="1" applyFill="1"/>
    <xf numFmtId="14" fontId="3" fillId="2" borderId="0" xfId="0" applyNumberFormat="1" applyFont="1" applyFill="1"/>
    <xf numFmtId="0" fontId="1" fillId="4" borderId="2" xfId="0" applyFont="1" applyFill="1" applyBorder="1"/>
    <xf numFmtId="0" fontId="3" fillId="3" borderId="0" xfId="0" applyFont="1" applyFill="1"/>
    <xf numFmtId="0" fontId="1" fillId="3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9"/>
  <sheetViews>
    <sheetView tabSelected="1" workbookViewId="0">
      <selection activeCell="R7" sqref="R7"/>
    </sheetView>
  </sheetViews>
  <sheetFormatPr defaultRowHeight="14.4" x14ac:dyDescent="0.3"/>
  <cols>
    <col min="1" max="1" width="10.44140625" bestFit="1" customWidth="1"/>
    <col min="2" max="2" width="10.77734375" style="1" bestFit="1" customWidth="1"/>
    <col min="3" max="3" width="6.5546875" style="2" bestFit="1" customWidth="1"/>
    <col min="4" max="4" width="8" style="2" bestFit="1" customWidth="1"/>
    <col min="5" max="5" width="8.88671875" customWidth="1"/>
    <col min="6" max="8" width="8.33203125" customWidth="1"/>
    <col min="9" max="9" width="10.109375" customWidth="1"/>
    <col min="10" max="10" width="1.5546875" customWidth="1"/>
    <col min="11" max="11" width="1" customWidth="1"/>
    <col min="12" max="12" width="8.88671875" style="6"/>
    <col min="13" max="13" width="17.44140625" style="6" bestFit="1" customWidth="1"/>
    <col min="14" max="14" width="12.6640625" style="6" bestFit="1" customWidth="1"/>
    <col min="15" max="15" width="14.109375" style="6" customWidth="1"/>
    <col min="16" max="16" width="12.6640625" style="6" bestFit="1" customWidth="1"/>
    <col min="17" max="17" width="12" style="6" bestFit="1" customWidth="1"/>
    <col min="18" max="18" width="13" style="6" bestFit="1" customWidth="1"/>
    <col min="19" max="21" width="12.6640625" style="6" bestFit="1" customWidth="1"/>
    <col min="22" max="41" width="8.88671875" style="6"/>
  </cols>
  <sheetData>
    <row r="1" spans="1:14" x14ac:dyDescent="0.3">
      <c r="A1" s="24">
        <v>46079</v>
      </c>
      <c r="B1" s="4"/>
      <c r="C1" s="23" t="s">
        <v>35</v>
      </c>
      <c r="D1" s="5"/>
      <c r="E1" s="3"/>
      <c r="F1" s="3"/>
      <c r="G1" s="3"/>
      <c r="H1" s="23" t="s">
        <v>34</v>
      </c>
      <c r="I1" s="3"/>
      <c r="J1" s="18"/>
      <c r="K1" s="18"/>
      <c r="M1" s="26" t="s">
        <v>33</v>
      </c>
    </row>
    <row r="2" spans="1:14" x14ac:dyDescent="0.3">
      <c r="J2" s="18"/>
      <c r="K2" s="18"/>
    </row>
    <row r="3" spans="1:14" x14ac:dyDescent="0.3">
      <c r="J3" s="18"/>
      <c r="K3" s="18"/>
    </row>
    <row r="4" spans="1:14" x14ac:dyDescent="0.3">
      <c r="J4" s="18"/>
      <c r="K4" s="18"/>
    </row>
    <row r="5" spans="1:14" x14ac:dyDescent="0.3">
      <c r="A5" s="3"/>
      <c r="B5" s="4"/>
      <c r="C5" s="5"/>
      <c r="D5" s="5"/>
      <c r="E5" s="3"/>
      <c r="F5" s="3"/>
      <c r="G5" s="3"/>
      <c r="H5" s="3"/>
      <c r="I5" s="3"/>
      <c r="J5" s="18"/>
      <c r="K5" s="18"/>
    </row>
    <row r="6" spans="1:14" x14ac:dyDescent="0.3">
      <c r="J6" s="18"/>
      <c r="K6" s="18"/>
    </row>
    <row r="7" spans="1:14" x14ac:dyDescent="0.3">
      <c r="B7" s="7" t="s">
        <v>1</v>
      </c>
      <c r="C7" s="8" t="s">
        <v>0</v>
      </c>
      <c r="D7" s="8" t="s">
        <v>2</v>
      </c>
      <c r="E7" s="12" t="s">
        <v>4</v>
      </c>
      <c r="F7" s="12" t="s">
        <v>3</v>
      </c>
      <c r="G7" t="s">
        <v>31</v>
      </c>
      <c r="H7" s="19"/>
      <c r="J7" s="18"/>
      <c r="K7" s="18"/>
      <c r="M7" t="s">
        <v>5</v>
      </c>
      <c r="N7"/>
    </row>
    <row r="8" spans="1:14" ht="15" thickBot="1" x14ac:dyDescent="0.35">
      <c r="B8" s="9">
        <v>44249</v>
      </c>
      <c r="C8" s="10">
        <v>255.83293151855469</v>
      </c>
      <c r="D8" s="10">
        <v>3811.14990234375</v>
      </c>
      <c r="E8" s="11"/>
      <c r="F8" s="11"/>
      <c r="J8" s="18"/>
      <c r="K8" s="18"/>
    </row>
    <row r="9" spans="1:14" x14ac:dyDescent="0.3">
      <c r="B9" s="9">
        <v>44256</v>
      </c>
      <c r="C9" s="10">
        <v>262.44671630859381</v>
      </c>
      <c r="D9" s="10">
        <v>3841.93994140625</v>
      </c>
      <c r="E9" s="17">
        <f>(C9-C8)/C8</f>
        <v>2.5851968121466975E-2</v>
      </c>
      <c r="F9" s="17">
        <f>(D9-D8)/D8</f>
        <v>8.0789367648763932E-3</v>
      </c>
      <c r="G9" s="20"/>
      <c r="H9" s="20"/>
      <c r="J9" s="18"/>
      <c r="K9" s="18"/>
      <c r="M9" s="15" t="s">
        <v>6</v>
      </c>
      <c r="N9" s="15"/>
    </row>
    <row r="10" spans="1:14" x14ac:dyDescent="0.3">
      <c r="B10" s="9">
        <v>44263</v>
      </c>
      <c r="C10" s="10">
        <v>266.53814697265619</v>
      </c>
      <c r="D10" s="10">
        <v>3943.340087890625</v>
      </c>
      <c r="E10" s="17">
        <f t="shared" ref="E10:E73" si="0">(C10-C9)/C9</f>
        <v>1.5589566985671646E-2</v>
      </c>
      <c r="F10" s="17">
        <f t="shared" ref="F10:F73" si="1">(D10-D9)/D9</f>
        <v>2.6392954609087384E-2</v>
      </c>
      <c r="G10" s="20"/>
      <c r="H10" s="20"/>
      <c r="J10" s="18"/>
      <c r="K10" s="18"/>
      <c r="M10" t="s">
        <v>7</v>
      </c>
      <c r="N10">
        <v>0.50570231306180524</v>
      </c>
    </row>
    <row r="11" spans="1:14" x14ac:dyDescent="0.3">
      <c r="B11" s="9">
        <v>44270</v>
      </c>
      <c r="C11" s="10">
        <v>288.0975341796875</v>
      </c>
      <c r="D11" s="10">
        <v>3913.10009765625</v>
      </c>
      <c r="E11" s="17">
        <f t="shared" si="0"/>
        <v>8.0886685271519709E-2</v>
      </c>
      <c r="F11" s="17">
        <f t="shared" si="1"/>
        <v>-7.668623441137435E-3</v>
      </c>
      <c r="G11" s="20"/>
      <c r="H11" s="20"/>
      <c r="J11" s="18"/>
      <c r="K11" s="18"/>
      <c r="M11" t="s">
        <v>8</v>
      </c>
      <c r="N11">
        <v>0.25573482943606013</v>
      </c>
    </row>
    <row r="12" spans="1:14" x14ac:dyDescent="0.3">
      <c r="B12" s="9">
        <v>44277</v>
      </c>
      <c r="C12" s="10">
        <v>281.05670166015619</v>
      </c>
      <c r="D12" s="10">
        <v>3974.5400390625</v>
      </c>
      <c r="E12" s="17">
        <f t="shared" si="0"/>
        <v>-2.4439058597217681E-2</v>
      </c>
      <c r="F12" s="17">
        <f t="shared" si="1"/>
        <v>1.570109117399001E-2</v>
      </c>
      <c r="G12" s="20"/>
      <c r="H12" s="20"/>
      <c r="J12" s="18"/>
      <c r="K12" s="18"/>
      <c r="M12" t="s">
        <v>9</v>
      </c>
      <c r="N12">
        <v>0.2528612187389021</v>
      </c>
    </row>
    <row r="13" spans="1:14" x14ac:dyDescent="0.3">
      <c r="B13" s="9">
        <v>44284</v>
      </c>
      <c r="C13" s="10">
        <v>296.5882568359375</v>
      </c>
      <c r="D13" s="10">
        <v>4019.8701171875</v>
      </c>
      <c r="E13" s="17">
        <f t="shared" si="0"/>
        <v>5.5261287434311079E-2</v>
      </c>
      <c r="F13" s="17">
        <f t="shared" si="1"/>
        <v>1.1405112963887085E-2</v>
      </c>
      <c r="G13" s="20"/>
      <c r="H13" s="20"/>
      <c r="J13" s="18"/>
      <c r="K13" s="18"/>
      <c r="M13" t="s">
        <v>10</v>
      </c>
      <c r="N13">
        <v>4.9046047349096282E-2</v>
      </c>
    </row>
    <row r="14" spans="1:14" ht="15" thickBot="1" x14ac:dyDescent="0.35">
      <c r="B14" s="9">
        <v>44291</v>
      </c>
      <c r="C14" s="10">
        <v>310.29251098632813</v>
      </c>
      <c r="D14" s="10">
        <v>4128.7998046875</v>
      </c>
      <c r="E14" s="17">
        <f t="shared" si="0"/>
        <v>4.6206327575441908E-2</v>
      </c>
      <c r="F14" s="17">
        <f t="shared" si="1"/>
        <v>2.7097812696548665E-2</v>
      </c>
      <c r="G14" s="20"/>
      <c r="H14" s="20"/>
      <c r="J14" s="18"/>
      <c r="K14" s="18"/>
      <c r="M14" s="13" t="s">
        <v>11</v>
      </c>
      <c r="N14" s="13">
        <v>261</v>
      </c>
    </row>
    <row r="15" spans="1:14" x14ac:dyDescent="0.3">
      <c r="B15" s="9">
        <v>44298</v>
      </c>
      <c r="C15" s="10">
        <v>304.05606079101563</v>
      </c>
      <c r="D15" s="10">
        <v>4185.47021484375</v>
      </c>
      <c r="E15" s="17">
        <f t="shared" si="0"/>
        <v>-2.0098616545686742E-2</v>
      </c>
      <c r="F15" s="17">
        <f t="shared" si="1"/>
        <v>1.3725637676089569E-2</v>
      </c>
      <c r="G15" s="20"/>
      <c r="H15" s="20"/>
      <c r="J15" s="18"/>
      <c r="K15" s="18"/>
    </row>
    <row r="16" spans="1:14" ht="15" thickBot="1" x14ac:dyDescent="0.35">
      <c r="B16" s="9">
        <v>44305</v>
      </c>
      <c r="C16" s="10">
        <v>299.0411376953125</v>
      </c>
      <c r="D16" s="10">
        <v>4180.169921875</v>
      </c>
      <c r="E16" s="17">
        <f t="shared" si="0"/>
        <v>-1.6493415992618516E-2</v>
      </c>
      <c r="F16" s="17">
        <f t="shared" si="1"/>
        <v>-1.2663554383812209E-3</v>
      </c>
      <c r="G16" s="20"/>
      <c r="H16" s="20"/>
      <c r="J16" s="18"/>
      <c r="K16" s="18"/>
      <c r="M16" t="s">
        <v>12</v>
      </c>
      <c r="N16"/>
    </row>
    <row r="17" spans="2:21" x14ac:dyDescent="0.3">
      <c r="B17" s="9">
        <v>44312</v>
      </c>
      <c r="C17" s="10">
        <v>322.824951171875</v>
      </c>
      <c r="D17" s="10">
        <v>4181.169921875</v>
      </c>
      <c r="E17" s="17">
        <f t="shared" si="0"/>
        <v>7.953358410773366E-2</v>
      </c>
      <c r="F17" s="17">
        <f t="shared" si="1"/>
        <v>2.3922472499669431E-4</v>
      </c>
      <c r="G17" s="20"/>
      <c r="H17" s="20"/>
      <c r="J17" s="18"/>
      <c r="K17" s="18"/>
      <c r="M17" s="14"/>
      <c r="N17" s="14" t="s">
        <v>17</v>
      </c>
      <c r="O17" s="14" t="s">
        <v>18</v>
      </c>
      <c r="P17" s="14" t="s">
        <v>19</v>
      </c>
      <c r="Q17" s="14" t="s">
        <v>20</v>
      </c>
      <c r="R17" s="14" t="s">
        <v>21</v>
      </c>
    </row>
    <row r="18" spans="2:21" x14ac:dyDescent="0.3">
      <c r="B18" s="9">
        <v>44319</v>
      </c>
      <c r="C18" s="10">
        <v>316.86654663085938</v>
      </c>
      <c r="D18" s="10">
        <v>4232.60009765625</v>
      </c>
      <c r="E18" s="17">
        <f t="shared" si="0"/>
        <v>-1.8457075636149681E-2</v>
      </c>
      <c r="F18" s="17">
        <f t="shared" si="1"/>
        <v>1.2300427091512869E-2</v>
      </c>
      <c r="G18" s="20"/>
      <c r="H18" s="20"/>
      <c r="I18" t="s">
        <v>31</v>
      </c>
      <c r="J18" s="18"/>
      <c r="K18" s="18"/>
      <c r="M18" t="s">
        <v>13</v>
      </c>
      <c r="N18">
        <v>1</v>
      </c>
      <c r="O18">
        <v>0.21407698252537599</v>
      </c>
      <c r="P18">
        <v>0.21407698252537599</v>
      </c>
      <c r="Q18">
        <v>88.994250226370482</v>
      </c>
      <c r="R18">
        <v>2.3713575689612654E-18</v>
      </c>
    </row>
    <row r="19" spans="2:21" x14ac:dyDescent="0.3">
      <c r="B19" s="9">
        <v>44326</v>
      </c>
      <c r="C19" s="10">
        <v>313.74835205078119</v>
      </c>
      <c r="D19" s="10">
        <v>4173.85009765625</v>
      </c>
      <c r="E19" s="17">
        <f t="shared" si="0"/>
        <v>-9.8407187922895222E-3</v>
      </c>
      <c r="F19" s="17">
        <f t="shared" si="1"/>
        <v>-1.3880356906983035E-2</v>
      </c>
      <c r="G19" s="20"/>
      <c r="H19" s="20"/>
      <c r="J19" s="18"/>
      <c r="K19" s="18"/>
      <c r="M19" t="s">
        <v>14</v>
      </c>
      <c r="N19">
        <v>259</v>
      </c>
      <c r="O19">
        <v>0.62302832298757682</v>
      </c>
      <c r="P19">
        <v>2.4055147605697947E-3</v>
      </c>
      <c r="Q19"/>
      <c r="R19"/>
    </row>
    <row r="20" spans="2:21" ht="15" thickBot="1" x14ac:dyDescent="0.35">
      <c r="B20" s="9">
        <v>44333</v>
      </c>
      <c r="C20" s="10">
        <v>314.03634643554688</v>
      </c>
      <c r="D20" s="10">
        <v>4155.85986328125</v>
      </c>
      <c r="E20" s="17">
        <f t="shared" si="0"/>
        <v>9.1791521097477828E-4</v>
      </c>
      <c r="F20" s="17">
        <f t="shared" si="1"/>
        <v>-4.3102253205265064E-3</v>
      </c>
      <c r="G20" s="20"/>
      <c r="H20" s="20"/>
      <c r="I20" t="s">
        <v>31</v>
      </c>
      <c r="J20" s="18"/>
      <c r="K20" s="18"/>
      <c r="M20" s="13" t="s">
        <v>15</v>
      </c>
      <c r="N20" s="13">
        <v>260</v>
      </c>
      <c r="O20" s="13">
        <v>0.83710530551295281</v>
      </c>
      <c r="P20" s="13"/>
      <c r="Q20" s="13"/>
      <c r="R20" s="13"/>
    </row>
    <row r="21" spans="2:21" ht="15" thickBot="1" x14ac:dyDescent="0.35">
      <c r="B21" s="9">
        <v>44340</v>
      </c>
      <c r="C21" s="10">
        <v>326.44967651367188</v>
      </c>
      <c r="D21" s="10">
        <v>4204.10986328125</v>
      </c>
      <c r="E21" s="17">
        <f t="shared" si="0"/>
        <v>3.9528322816839052E-2</v>
      </c>
      <c r="F21" s="17">
        <f t="shared" si="1"/>
        <v>1.1610112368395483E-2</v>
      </c>
      <c r="G21" s="20"/>
      <c r="H21" s="20"/>
      <c r="J21" s="18"/>
      <c r="K21" s="18"/>
      <c r="M21"/>
      <c r="N21"/>
      <c r="O21"/>
      <c r="P21"/>
      <c r="Q21"/>
      <c r="R21"/>
    </row>
    <row r="22" spans="2:21" x14ac:dyDescent="0.3">
      <c r="B22" s="9">
        <v>44347</v>
      </c>
      <c r="C22" s="10">
        <v>328.05841064453119</v>
      </c>
      <c r="D22" s="10">
        <v>4229.89013671875</v>
      </c>
      <c r="E22" s="17">
        <f t="shared" si="0"/>
        <v>4.9279697503144667E-3</v>
      </c>
      <c r="F22" s="17">
        <f t="shared" si="1"/>
        <v>6.1321597855149412E-3</v>
      </c>
      <c r="G22" s="20"/>
      <c r="H22" s="20"/>
      <c r="J22" s="18"/>
      <c r="K22" s="18"/>
      <c r="M22" s="14"/>
      <c r="N22" s="14" t="s">
        <v>22</v>
      </c>
      <c r="O22" s="14" t="s">
        <v>10</v>
      </c>
      <c r="P22" s="14" t="s">
        <v>23</v>
      </c>
      <c r="Q22" s="14" t="s">
        <v>24</v>
      </c>
      <c r="R22" s="14" t="s">
        <v>25</v>
      </c>
      <c r="S22" s="14" t="s">
        <v>26</v>
      </c>
      <c r="T22" s="14" t="s">
        <v>27</v>
      </c>
      <c r="U22" s="14" t="s">
        <v>28</v>
      </c>
    </row>
    <row r="23" spans="2:21" x14ac:dyDescent="0.3">
      <c r="B23" s="9">
        <v>44354</v>
      </c>
      <c r="C23" s="10">
        <v>328.96206665039063</v>
      </c>
      <c r="D23" s="10">
        <v>4247.43994140625</v>
      </c>
      <c r="E23" s="17">
        <f t="shared" si="0"/>
        <v>2.7545582632191416E-3</v>
      </c>
      <c r="F23" s="17">
        <f t="shared" si="1"/>
        <v>4.1489977565029382E-3</v>
      </c>
      <c r="G23" s="20"/>
      <c r="H23" s="20"/>
      <c r="J23" s="18"/>
      <c r="K23" s="18"/>
      <c r="M23" t="s">
        <v>16</v>
      </c>
      <c r="N23">
        <v>1.9451854972893047E-3</v>
      </c>
      <c r="O23">
        <v>3.0554972088824286E-3</v>
      </c>
      <c r="P23">
        <v>0.63661831915100031</v>
      </c>
      <c r="Q23">
        <v>0.52493572637535602</v>
      </c>
      <c r="R23">
        <v>-4.0715943639911996E-3</v>
      </c>
      <c r="S23">
        <v>7.9619653585698089E-3</v>
      </c>
      <c r="T23">
        <v>-4.0715943639911996E-3</v>
      </c>
      <c r="U23">
        <v>7.9619653585698089E-3</v>
      </c>
    </row>
    <row r="24" spans="2:21" ht="15" thickBot="1" x14ac:dyDescent="0.35">
      <c r="B24" s="9">
        <v>44361</v>
      </c>
      <c r="C24" s="10">
        <v>327.3731689453125</v>
      </c>
      <c r="D24" s="10">
        <v>4166.4501953125</v>
      </c>
      <c r="E24" s="17">
        <f t="shared" si="0"/>
        <v>-4.8300332049128021E-3</v>
      </c>
      <c r="F24" s="17">
        <f t="shared" si="1"/>
        <v>-1.9067896712139445E-2</v>
      </c>
      <c r="G24" s="20"/>
      <c r="H24" s="20"/>
      <c r="J24" s="18"/>
      <c r="K24" s="18"/>
      <c r="M24" s="13" t="s">
        <v>29</v>
      </c>
      <c r="N24" s="25">
        <v>1.2991701000949725</v>
      </c>
      <c r="O24" s="13">
        <v>0.137716203781137</v>
      </c>
      <c r="P24" s="13">
        <v>9.4336763897417271</v>
      </c>
      <c r="Q24" s="13">
        <v>2.3713575689612326E-18</v>
      </c>
      <c r="R24" s="13">
        <v>1.0279840950567232</v>
      </c>
      <c r="S24" s="13">
        <v>1.5703561051332218</v>
      </c>
      <c r="T24" s="13">
        <v>1.0279840950567232</v>
      </c>
      <c r="U24" s="13">
        <v>1.5703561051332218</v>
      </c>
    </row>
    <row r="25" spans="2:21" x14ac:dyDescent="0.3">
      <c r="B25" s="9">
        <v>44368</v>
      </c>
      <c r="C25" s="10">
        <v>339.001953125</v>
      </c>
      <c r="D25" s="10">
        <v>4280.7001953125</v>
      </c>
      <c r="E25" s="17">
        <f t="shared" si="0"/>
        <v>3.552149437643768E-2</v>
      </c>
      <c r="F25" s="17">
        <f t="shared" si="1"/>
        <v>2.7421424628701414E-2</v>
      </c>
      <c r="G25" s="20"/>
      <c r="H25" s="20"/>
      <c r="J25" s="18"/>
      <c r="K25" s="18"/>
    </row>
    <row r="26" spans="2:21" x14ac:dyDescent="0.3">
      <c r="B26" s="9">
        <v>44375</v>
      </c>
      <c r="C26" s="10">
        <v>352.239501953125</v>
      </c>
      <c r="D26" s="10">
        <v>4352.33984375</v>
      </c>
      <c r="E26" s="17">
        <f t="shared" si="0"/>
        <v>3.9048591626384896E-2</v>
      </c>
      <c r="F26" s="17">
        <f t="shared" si="1"/>
        <v>1.6735497738418505E-2</v>
      </c>
      <c r="G26" s="20"/>
      <c r="H26" s="20"/>
      <c r="J26" s="18"/>
      <c r="K26" s="18"/>
    </row>
    <row r="27" spans="2:21" x14ac:dyDescent="0.3">
      <c r="B27" s="9">
        <v>44382</v>
      </c>
      <c r="C27" s="10">
        <v>347.98919677734381</v>
      </c>
      <c r="D27" s="10">
        <v>4369.5498046875</v>
      </c>
      <c r="E27" s="17">
        <f t="shared" si="0"/>
        <v>-1.2066520512928761E-2</v>
      </c>
      <c r="F27" s="17">
        <f t="shared" si="1"/>
        <v>3.9541859219044354E-3</v>
      </c>
      <c r="G27" s="20"/>
      <c r="H27" s="20"/>
      <c r="J27" s="18"/>
      <c r="K27" s="18"/>
    </row>
    <row r="28" spans="2:21" x14ac:dyDescent="0.3">
      <c r="B28" s="9">
        <v>44389</v>
      </c>
      <c r="C28" s="10">
        <v>338.79342651367188</v>
      </c>
      <c r="D28" s="10">
        <v>4327.16015625</v>
      </c>
      <c r="E28" s="17">
        <f t="shared" si="0"/>
        <v>-2.6425447539268645E-2</v>
      </c>
      <c r="F28" s="17">
        <f t="shared" si="1"/>
        <v>-9.7011477914786259E-3</v>
      </c>
      <c r="G28" s="20"/>
      <c r="H28" s="20"/>
      <c r="J28" s="18"/>
      <c r="K28" s="18"/>
      <c r="M28" s="27" t="s">
        <v>30</v>
      </c>
      <c r="N28" s="22">
        <f>(N24*0.67)+0.33</f>
        <v>1.2004439670636315</v>
      </c>
    </row>
    <row r="29" spans="2:21" x14ac:dyDescent="0.3">
      <c r="B29" s="9">
        <v>44396</v>
      </c>
      <c r="C29" s="10">
        <v>367.22479248046881</v>
      </c>
      <c r="D29" s="10">
        <v>4411.7900390625</v>
      </c>
      <c r="E29" s="17">
        <f t="shared" si="0"/>
        <v>8.3919473466081543E-2</v>
      </c>
      <c r="F29" s="17">
        <f t="shared" si="1"/>
        <v>1.9557834643643485E-2</v>
      </c>
      <c r="G29" s="20"/>
      <c r="H29" s="20"/>
      <c r="J29" s="18"/>
      <c r="K29" s="18"/>
      <c r="M29" s="21" t="s">
        <v>32</v>
      </c>
    </row>
    <row r="30" spans="2:21" x14ac:dyDescent="0.3">
      <c r="B30" s="9">
        <v>44403</v>
      </c>
      <c r="C30" s="10">
        <v>353.828369140625</v>
      </c>
      <c r="D30" s="10">
        <v>4395.259765625</v>
      </c>
      <c r="E30" s="17">
        <f t="shared" si="0"/>
        <v>-3.6480171312388468E-2</v>
      </c>
      <c r="F30" s="17">
        <f t="shared" si="1"/>
        <v>-3.7468404641061892E-3</v>
      </c>
      <c r="G30" s="20"/>
      <c r="H30" s="20"/>
      <c r="J30" s="18"/>
      <c r="K30" s="18"/>
    </row>
    <row r="31" spans="2:21" x14ac:dyDescent="0.3">
      <c r="B31" s="9">
        <v>44410</v>
      </c>
      <c r="C31" s="10">
        <v>360.98837280273438</v>
      </c>
      <c r="D31" s="10">
        <v>4436.52001953125</v>
      </c>
      <c r="E31" s="17">
        <f t="shared" si="0"/>
        <v>2.0235810032698972E-2</v>
      </c>
      <c r="F31" s="17">
        <f t="shared" si="1"/>
        <v>9.3874437704327234E-3</v>
      </c>
      <c r="G31" s="20"/>
      <c r="H31" s="20"/>
      <c r="J31" s="18"/>
      <c r="K31" s="18"/>
    </row>
    <row r="32" spans="2:21" x14ac:dyDescent="0.3">
      <c r="B32" s="9">
        <v>44417</v>
      </c>
      <c r="C32" s="10">
        <v>360.66067504882813</v>
      </c>
      <c r="D32" s="10">
        <v>4468</v>
      </c>
      <c r="E32" s="17">
        <f t="shared" si="0"/>
        <v>-9.0777924884944598E-4</v>
      </c>
      <c r="F32" s="17">
        <f t="shared" si="1"/>
        <v>7.0956471130893452E-3</v>
      </c>
      <c r="G32" s="20"/>
      <c r="H32" s="20"/>
      <c r="J32" s="18"/>
      <c r="K32" s="18"/>
    </row>
    <row r="33" spans="2:11" x14ac:dyDescent="0.3">
      <c r="B33" s="9">
        <v>44424</v>
      </c>
      <c r="C33" s="10">
        <v>356.8770751953125</v>
      </c>
      <c r="D33" s="10">
        <v>4441.669921875</v>
      </c>
      <c r="E33" s="17">
        <f t="shared" si="0"/>
        <v>-1.0490746885568773E-2</v>
      </c>
      <c r="F33" s="17">
        <f t="shared" si="1"/>
        <v>-5.8930344952999106E-3</v>
      </c>
      <c r="G33" s="20"/>
      <c r="H33" s="20"/>
      <c r="J33" s="18"/>
      <c r="K33" s="18"/>
    </row>
    <row r="34" spans="2:11" x14ac:dyDescent="0.3">
      <c r="B34" s="9">
        <v>44431</v>
      </c>
      <c r="C34" s="10">
        <v>370.04513549804688</v>
      </c>
      <c r="D34" s="10">
        <v>4509.3701171875</v>
      </c>
      <c r="E34" s="17">
        <f t="shared" si="0"/>
        <v>3.6898027970913315E-2</v>
      </c>
      <c r="F34" s="17">
        <f t="shared" si="1"/>
        <v>1.5242059068612901E-2</v>
      </c>
      <c r="G34" s="20"/>
      <c r="H34" s="20"/>
      <c r="J34" s="18"/>
      <c r="K34" s="18"/>
    </row>
    <row r="35" spans="2:11" x14ac:dyDescent="0.3">
      <c r="B35" s="9">
        <v>44438</v>
      </c>
      <c r="C35" s="10">
        <v>373.64996337890619</v>
      </c>
      <c r="D35" s="10">
        <v>4535.43017578125</v>
      </c>
      <c r="E35" s="17">
        <f t="shared" si="0"/>
        <v>9.7415897009632355E-3</v>
      </c>
      <c r="F35" s="17">
        <f t="shared" si="1"/>
        <v>5.7790906305122038E-3</v>
      </c>
      <c r="G35" s="20"/>
      <c r="H35" s="20"/>
      <c r="J35" s="18"/>
      <c r="K35" s="18"/>
    </row>
    <row r="36" spans="2:11" x14ac:dyDescent="0.3">
      <c r="B36" s="9">
        <v>44445</v>
      </c>
      <c r="C36" s="10">
        <v>376.0631103515625</v>
      </c>
      <c r="D36" s="10">
        <v>4458.580078125</v>
      </c>
      <c r="E36" s="17">
        <f t="shared" si="0"/>
        <v>6.4583091373388241E-3</v>
      </c>
      <c r="F36" s="17">
        <f t="shared" si="1"/>
        <v>-1.6944389986780516E-2</v>
      </c>
      <c r="G36" s="20"/>
      <c r="H36" s="20"/>
      <c r="J36" s="18"/>
      <c r="K36" s="18"/>
    </row>
    <row r="37" spans="2:11" x14ac:dyDescent="0.3">
      <c r="B37" s="9">
        <v>44452</v>
      </c>
      <c r="C37" s="10">
        <v>362.19000244140619</v>
      </c>
      <c r="D37" s="10">
        <v>4432.990234375</v>
      </c>
      <c r="E37" s="17">
        <f t="shared" si="0"/>
        <v>-3.6890371664444928E-2</v>
      </c>
      <c r="F37" s="17">
        <f t="shared" si="1"/>
        <v>-5.7394603890935361E-3</v>
      </c>
      <c r="G37" s="20"/>
      <c r="H37" s="20"/>
      <c r="J37" s="18"/>
      <c r="K37" s="18"/>
    </row>
    <row r="38" spans="2:11" x14ac:dyDescent="0.3">
      <c r="B38" s="9">
        <v>44459</v>
      </c>
      <c r="C38" s="10">
        <v>350.51153564453119</v>
      </c>
      <c r="D38" s="10">
        <v>4455.47998046875</v>
      </c>
      <c r="E38" s="17">
        <f t="shared" si="0"/>
        <v>-3.2244034120638934E-2</v>
      </c>
      <c r="F38" s="17">
        <f t="shared" si="1"/>
        <v>5.0732676826933708E-3</v>
      </c>
      <c r="G38" s="20"/>
      <c r="H38" s="20"/>
      <c r="J38" s="18"/>
      <c r="K38" s="18"/>
    </row>
    <row r="39" spans="2:11" x14ac:dyDescent="0.3">
      <c r="B39" s="9">
        <v>44466</v>
      </c>
      <c r="C39" s="10">
        <v>340.63064575195313</v>
      </c>
      <c r="D39" s="10">
        <v>4357.0400390625</v>
      </c>
      <c r="E39" s="17">
        <f t="shared" si="0"/>
        <v>-2.8189913562784146E-2</v>
      </c>
      <c r="F39" s="17">
        <f t="shared" si="1"/>
        <v>-2.2094127195672726E-2</v>
      </c>
      <c r="G39" s="20"/>
      <c r="H39" s="20"/>
      <c r="J39" s="18"/>
      <c r="K39" s="18"/>
    </row>
    <row r="40" spans="2:11" x14ac:dyDescent="0.3">
      <c r="B40" s="9">
        <v>44473</v>
      </c>
      <c r="C40" s="10">
        <v>327.760498046875</v>
      </c>
      <c r="D40" s="10">
        <v>4391.33984375</v>
      </c>
      <c r="E40" s="17">
        <f t="shared" si="0"/>
        <v>-3.7783293621943083E-2</v>
      </c>
      <c r="F40" s="17">
        <f t="shared" si="1"/>
        <v>7.8722720883878435E-3</v>
      </c>
      <c r="G40" s="20"/>
      <c r="H40" s="20"/>
      <c r="J40" s="18"/>
      <c r="K40" s="18"/>
    </row>
    <row r="41" spans="2:11" x14ac:dyDescent="0.3">
      <c r="B41" s="9">
        <v>44480</v>
      </c>
      <c r="C41" s="10">
        <v>322.50717163085938</v>
      </c>
      <c r="D41" s="10">
        <v>4471.3701171875</v>
      </c>
      <c r="E41" s="17">
        <f t="shared" si="0"/>
        <v>-1.6027942498623843E-2</v>
      </c>
      <c r="F41" s="17">
        <f t="shared" si="1"/>
        <v>1.822456841991028E-2</v>
      </c>
      <c r="G41" s="20"/>
      <c r="H41" s="20"/>
      <c r="J41" s="18"/>
      <c r="K41" s="18"/>
    </row>
    <row r="42" spans="2:11" x14ac:dyDescent="0.3">
      <c r="B42" s="9">
        <v>44487</v>
      </c>
      <c r="C42" s="10">
        <v>322.35821533203119</v>
      </c>
      <c r="D42" s="10">
        <v>4544.89990234375</v>
      </c>
      <c r="E42" s="17">
        <f t="shared" si="0"/>
        <v>-4.6186972548528849E-4</v>
      </c>
      <c r="F42" s="17">
        <f t="shared" si="1"/>
        <v>1.6444575874765735E-2</v>
      </c>
      <c r="G42" s="20"/>
      <c r="H42" s="20"/>
      <c r="J42" s="18"/>
      <c r="K42" s="18"/>
    </row>
    <row r="43" spans="2:11" x14ac:dyDescent="0.3">
      <c r="B43" s="9">
        <v>44494</v>
      </c>
      <c r="C43" s="10">
        <v>321.32546997070313</v>
      </c>
      <c r="D43" s="10">
        <v>4605.3798828125</v>
      </c>
      <c r="E43" s="17">
        <f t="shared" si="0"/>
        <v>-3.2037196888695181E-3</v>
      </c>
      <c r="F43" s="17">
        <f t="shared" si="1"/>
        <v>1.3307219469797609E-2</v>
      </c>
      <c r="G43" s="20"/>
      <c r="H43" s="20"/>
      <c r="I43" t="s">
        <v>31</v>
      </c>
      <c r="J43" s="18"/>
      <c r="K43" s="18"/>
    </row>
    <row r="44" spans="2:11" x14ac:dyDescent="0.3">
      <c r="B44" s="9">
        <v>44501</v>
      </c>
      <c r="C44" s="10">
        <v>338.76364135742188</v>
      </c>
      <c r="D44" s="10">
        <v>4697.52978515625</v>
      </c>
      <c r="E44" s="17">
        <f t="shared" si="0"/>
        <v>5.4269496247243261E-2</v>
      </c>
      <c r="F44" s="17">
        <f t="shared" si="1"/>
        <v>2.0009185927887922E-2</v>
      </c>
      <c r="G44" s="20"/>
      <c r="H44" s="20"/>
      <c r="J44" s="18"/>
      <c r="K44" s="18"/>
    </row>
    <row r="45" spans="2:11" x14ac:dyDescent="0.3">
      <c r="B45" s="9">
        <v>44508</v>
      </c>
      <c r="C45" s="10">
        <v>338.5252685546875</v>
      </c>
      <c r="D45" s="10">
        <v>4682.85009765625</v>
      </c>
      <c r="E45" s="17">
        <f t="shared" si="0"/>
        <v>-7.0365521453016043E-4</v>
      </c>
      <c r="F45" s="17">
        <f t="shared" si="1"/>
        <v>-3.1249801856257356E-3</v>
      </c>
      <c r="G45" s="20"/>
      <c r="H45" s="20"/>
      <c r="I45" t="s">
        <v>31</v>
      </c>
      <c r="J45" s="18"/>
      <c r="K45" s="18"/>
    </row>
    <row r="46" spans="2:11" x14ac:dyDescent="0.3">
      <c r="B46" s="9">
        <v>44515</v>
      </c>
      <c r="C46" s="10">
        <v>342.9046630859375</v>
      </c>
      <c r="D46" s="10">
        <v>4697.9599609375</v>
      </c>
      <c r="E46" s="17">
        <f t="shared" si="0"/>
        <v>1.2936684312954101E-2</v>
      </c>
      <c r="F46" s="17">
        <f t="shared" si="1"/>
        <v>3.2266382579302366E-3</v>
      </c>
      <c r="G46" s="20"/>
      <c r="H46" s="20"/>
      <c r="J46" s="18"/>
      <c r="K46" s="18"/>
    </row>
    <row r="47" spans="2:11" x14ac:dyDescent="0.3">
      <c r="B47" s="9">
        <v>44522</v>
      </c>
      <c r="C47" s="10">
        <v>330.80917358398438</v>
      </c>
      <c r="D47" s="10">
        <v>4594.6201171875</v>
      </c>
      <c r="E47" s="17">
        <f t="shared" si="0"/>
        <v>-3.5273622099801533E-2</v>
      </c>
      <c r="F47" s="17">
        <f t="shared" si="1"/>
        <v>-2.1996748505574332E-2</v>
      </c>
      <c r="G47" s="20"/>
      <c r="H47" s="20"/>
      <c r="J47" s="18"/>
      <c r="K47" s="18"/>
    </row>
    <row r="48" spans="2:11" x14ac:dyDescent="0.3">
      <c r="B48" s="9">
        <v>44529</v>
      </c>
      <c r="C48" s="10">
        <v>304.71148681640619</v>
      </c>
      <c r="D48" s="10">
        <v>4538.43017578125</v>
      </c>
      <c r="E48" s="17">
        <f t="shared" si="0"/>
        <v>-7.8890456648574817E-2</v>
      </c>
      <c r="F48" s="17">
        <f t="shared" si="1"/>
        <v>-1.2229507548633963E-2</v>
      </c>
      <c r="G48" s="20"/>
      <c r="H48" s="20"/>
      <c r="J48" s="18"/>
      <c r="K48" s="18"/>
    </row>
    <row r="49" spans="2:11" x14ac:dyDescent="0.3">
      <c r="B49" s="9">
        <v>44536</v>
      </c>
      <c r="C49" s="10">
        <v>327.46255493164063</v>
      </c>
      <c r="D49" s="10">
        <v>4712.02001953125</v>
      </c>
      <c r="E49" s="17">
        <f t="shared" si="0"/>
        <v>7.4664294257283229E-2</v>
      </c>
      <c r="F49" s="17">
        <f t="shared" si="1"/>
        <v>3.8248873955655398E-2</v>
      </c>
      <c r="G49" s="20"/>
      <c r="H49" s="20"/>
      <c r="J49" s="18"/>
      <c r="K49" s="18"/>
    </row>
    <row r="50" spans="2:11" x14ac:dyDescent="0.3">
      <c r="B50" s="9">
        <v>44543</v>
      </c>
      <c r="C50" s="10">
        <v>331.47457885742188</v>
      </c>
      <c r="D50" s="10">
        <v>4620.64013671875</v>
      </c>
      <c r="E50" s="17">
        <f t="shared" si="0"/>
        <v>1.2251855564428669E-2</v>
      </c>
      <c r="F50" s="17">
        <f t="shared" si="1"/>
        <v>-1.9392931785886264E-2</v>
      </c>
      <c r="G50" s="20"/>
      <c r="H50" s="20"/>
      <c r="J50" s="18"/>
      <c r="K50" s="18"/>
    </row>
    <row r="51" spans="2:11" x14ac:dyDescent="0.3">
      <c r="B51" s="9">
        <v>44550</v>
      </c>
      <c r="C51" s="10">
        <v>332.91448974609381</v>
      </c>
      <c r="D51" s="10">
        <v>4725.7900390625</v>
      </c>
      <c r="E51" s="17">
        <f t="shared" si="0"/>
        <v>4.3439557073584366E-3</v>
      </c>
      <c r="F51" s="17">
        <f t="shared" si="1"/>
        <v>2.2756566023862654E-2</v>
      </c>
      <c r="G51" s="20"/>
      <c r="H51" s="20"/>
      <c r="J51" s="18"/>
      <c r="K51" s="18"/>
    </row>
    <row r="52" spans="2:11" x14ac:dyDescent="0.3">
      <c r="B52" s="9">
        <v>44557</v>
      </c>
      <c r="C52" s="10">
        <v>334.01678466796881</v>
      </c>
      <c r="D52" s="10">
        <v>4766.18017578125</v>
      </c>
      <c r="E52" s="17">
        <f t="shared" si="0"/>
        <v>3.3110451957669216E-3</v>
      </c>
      <c r="F52" s="17">
        <f t="shared" si="1"/>
        <v>8.5467480325813576E-3</v>
      </c>
      <c r="G52" s="20"/>
      <c r="H52" s="20"/>
      <c r="I52" t="s">
        <v>31</v>
      </c>
      <c r="J52" s="18"/>
      <c r="K52" s="18"/>
    </row>
    <row r="53" spans="2:11" x14ac:dyDescent="0.3">
      <c r="B53" s="9">
        <v>44564</v>
      </c>
      <c r="C53" s="10">
        <v>329.48843383789063</v>
      </c>
      <c r="D53" s="10">
        <v>4677.02978515625</v>
      </c>
      <c r="E53" s="17">
        <f t="shared" si="0"/>
        <v>-1.3557255317512302E-2</v>
      </c>
      <c r="F53" s="17">
        <f t="shared" si="1"/>
        <v>-1.8704788181950524E-2</v>
      </c>
      <c r="G53" s="20"/>
      <c r="H53" s="20"/>
      <c r="J53" s="18"/>
      <c r="K53" s="18"/>
    </row>
    <row r="54" spans="2:11" x14ac:dyDescent="0.3">
      <c r="B54" s="9">
        <v>44571</v>
      </c>
      <c r="C54" s="10">
        <v>329.59762573242188</v>
      </c>
      <c r="D54" s="10">
        <v>4662.85009765625</v>
      </c>
      <c r="E54" s="17">
        <f t="shared" si="0"/>
        <v>3.3139826263210432E-4</v>
      </c>
      <c r="F54" s="17">
        <f t="shared" si="1"/>
        <v>-3.0317719046825111E-3</v>
      </c>
      <c r="G54" s="20"/>
      <c r="H54" s="20"/>
      <c r="I54" t="s">
        <v>31</v>
      </c>
      <c r="J54" s="18"/>
      <c r="K54" s="18"/>
    </row>
    <row r="55" spans="2:11" x14ac:dyDescent="0.3">
      <c r="B55" s="9">
        <v>44578</v>
      </c>
      <c r="C55" s="10">
        <v>301.06695556640619</v>
      </c>
      <c r="D55" s="10">
        <v>4397.93994140625</v>
      </c>
      <c r="E55" s="17">
        <f t="shared" si="0"/>
        <v>-8.6562122838766478E-2</v>
      </c>
      <c r="F55" s="17">
        <f t="shared" si="1"/>
        <v>-5.6812925721793049E-2</v>
      </c>
      <c r="G55" s="20"/>
      <c r="H55" s="20"/>
      <c r="J55" s="18"/>
      <c r="K55" s="18"/>
    </row>
    <row r="56" spans="2:11" x14ac:dyDescent="0.3">
      <c r="B56" s="9">
        <v>44585</v>
      </c>
      <c r="C56" s="10">
        <v>299.6170654296875</v>
      </c>
      <c r="D56" s="10">
        <v>4431.85009765625</v>
      </c>
      <c r="E56" s="17">
        <f t="shared" si="0"/>
        <v>-4.8158394998580028E-3</v>
      </c>
      <c r="F56" s="17">
        <f t="shared" si="1"/>
        <v>7.7104636947718666E-3</v>
      </c>
      <c r="G56" s="20"/>
      <c r="H56" s="20"/>
      <c r="J56" s="18"/>
      <c r="K56" s="18"/>
    </row>
    <row r="57" spans="2:11" x14ac:dyDescent="0.3">
      <c r="B57" s="9">
        <v>44592</v>
      </c>
      <c r="C57" s="10">
        <v>235.4453430175781</v>
      </c>
      <c r="D57" s="10">
        <v>4500.52978515625</v>
      </c>
      <c r="E57" s="17">
        <f t="shared" si="0"/>
        <v>-0.21417913001744179</v>
      </c>
      <c r="F57" s="17">
        <f t="shared" si="1"/>
        <v>1.549684352733878E-2</v>
      </c>
      <c r="G57" s="20"/>
      <c r="H57" s="20"/>
      <c r="J57" s="18"/>
      <c r="K57" s="18"/>
    </row>
    <row r="58" spans="2:11" x14ac:dyDescent="0.3">
      <c r="B58" s="9">
        <v>44599</v>
      </c>
      <c r="C58" s="10">
        <v>218.0270080566406</v>
      </c>
      <c r="D58" s="10">
        <v>4418.64013671875</v>
      </c>
      <c r="E58" s="17">
        <f t="shared" si="0"/>
        <v>-7.3980375817571664E-2</v>
      </c>
      <c r="F58" s="17">
        <f t="shared" si="1"/>
        <v>-1.8195557489162788E-2</v>
      </c>
      <c r="G58" s="20"/>
      <c r="H58" s="20"/>
      <c r="J58" s="18"/>
      <c r="K58" s="18"/>
    </row>
    <row r="59" spans="2:11" x14ac:dyDescent="0.3">
      <c r="B59" s="9">
        <v>44606</v>
      </c>
      <c r="C59" s="10">
        <v>204.72990417480469</v>
      </c>
      <c r="D59" s="10">
        <v>4348.8701171875</v>
      </c>
      <c r="E59" s="17">
        <f t="shared" si="0"/>
        <v>-6.0988333511330366E-2</v>
      </c>
      <c r="F59" s="17">
        <f t="shared" si="1"/>
        <v>-1.5789930243801369E-2</v>
      </c>
      <c r="G59" s="20"/>
      <c r="H59" s="20"/>
      <c r="J59" s="18"/>
      <c r="K59" s="18"/>
    </row>
    <row r="60" spans="2:11" x14ac:dyDescent="0.3">
      <c r="B60" s="9">
        <v>44613</v>
      </c>
      <c r="C60" s="10">
        <v>209.0199279785156</v>
      </c>
      <c r="D60" s="10">
        <v>4384.64990234375</v>
      </c>
      <c r="E60" s="17">
        <f t="shared" si="0"/>
        <v>2.0954553859645023E-2</v>
      </c>
      <c r="F60" s="17">
        <f t="shared" si="1"/>
        <v>8.2273749714533873E-3</v>
      </c>
      <c r="G60" s="20"/>
      <c r="H60" s="20"/>
      <c r="J60" s="18"/>
      <c r="K60" s="18"/>
    </row>
    <row r="61" spans="2:11" x14ac:dyDescent="0.3">
      <c r="B61" s="9">
        <v>44620</v>
      </c>
      <c r="C61" s="10">
        <v>198.67222595214841</v>
      </c>
      <c r="D61" s="10">
        <v>4328.8701171875</v>
      </c>
      <c r="E61" s="17">
        <f t="shared" si="0"/>
        <v>-4.9505815672421391E-2</v>
      </c>
      <c r="F61" s="17">
        <f t="shared" si="1"/>
        <v>-1.2721605236129283E-2</v>
      </c>
      <c r="G61" s="20"/>
      <c r="H61" s="20"/>
      <c r="J61" s="18"/>
      <c r="K61" s="18"/>
    </row>
    <row r="62" spans="2:11" x14ac:dyDescent="0.3">
      <c r="B62" s="9">
        <v>44627</v>
      </c>
      <c r="C62" s="10">
        <v>186.3085632324219</v>
      </c>
      <c r="D62" s="10">
        <v>4204.31005859375</v>
      </c>
      <c r="E62" s="17">
        <f t="shared" si="0"/>
        <v>-6.2231460187617667E-2</v>
      </c>
      <c r="F62" s="17">
        <f t="shared" si="1"/>
        <v>-2.877426562169013E-2</v>
      </c>
      <c r="G62" s="20"/>
      <c r="H62" s="20"/>
      <c r="J62" s="18"/>
      <c r="K62" s="18"/>
    </row>
    <row r="63" spans="2:11" x14ac:dyDescent="0.3">
      <c r="B63" s="9">
        <v>44634</v>
      </c>
      <c r="C63" s="10">
        <v>214.9882507324219</v>
      </c>
      <c r="D63" s="10">
        <v>4463.1201171875</v>
      </c>
      <c r="E63" s="17">
        <f t="shared" si="0"/>
        <v>0.15393649654322</v>
      </c>
      <c r="F63" s="17">
        <f t="shared" si="1"/>
        <v>6.1558271151941707E-2</v>
      </c>
      <c r="G63" s="20"/>
      <c r="H63" s="20"/>
      <c r="J63" s="18"/>
      <c r="K63" s="18"/>
    </row>
    <row r="64" spans="2:11" x14ac:dyDescent="0.3">
      <c r="B64" s="9">
        <v>44641</v>
      </c>
      <c r="C64" s="10">
        <v>220.28126525878909</v>
      </c>
      <c r="D64" s="10">
        <v>4543.06005859375</v>
      </c>
      <c r="E64" s="17">
        <f t="shared" si="0"/>
        <v>2.4620017644382645E-2</v>
      </c>
      <c r="F64" s="17">
        <f t="shared" si="1"/>
        <v>1.7911223383480279E-2</v>
      </c>
      <c r="G64" s="20"/>
      <c r="H64" s="20"/>
      <c r="J64" s="18"/>
      <c r="K64" s="18"/>
    </row>
    <row r="65" spans="2:11" x14ac:dyDescent="0.3">
      <c r="B65" s="9">
        <v>44648</v>
      </c>
      <c r="C65" s="10">
        <v>223.29026794433591</v>
      </c>
      <c r="D65" s="10">
        <v>4545.85986328125</v>
      </c>
      <c r="E65" s="17">
        <f t="shared" si="0"/>
        <v>1.3659821147349075E-2</v>
      </c>
      <c r="F65" s="17">
        <f t="shared" si="1"/>
        <v>6.162816804950287E-4</v>
      </c>
      <c r="G65" s="20"/>
      <c r="H65" s="20"/>
      <c r="J65" s="18"/>
      <c r="K65" s="18"/>
    </row>
    <row r="66" spans="2:11" x14ac:dyDescent="0.3">
      <c r="B66" s="9">
        <v>44655</v>
      </c>
      <c r="C66" s="10">
        <v>220.78773498535159</v>
      </c>
      <c r="D66" s="10">
        <v>4488.27978515625</v>
      </c>
      <c r="E66" s="17">
        <f t="shared" si="0"/>
        <v>-1.1207532607772118E-2</v>
      </c>
      <c r="F66" s="17">
        <f t="shared" si="1"/>
        <v>-1.2666487717779775E-2</v>
      </c>
      <c r="G66" s="20"/>
      <c r="H66" s="20"/>
      <c r="J66" s="18"/>
      <c r="K66" s="18"/>
    </row>
    <row r="67" spans="2:11" x14ac:dyDescent="0.3">
      <c r="B67" s="9">
        <v>44662</v>
      </c>
      <c r="C67" s="10">
        <v>208.72200012207031</v>
      </c>
      <c r="D67" s="10">
        <v>4392.58984375</v>
      </c>
      <c r="E67" s="17">
        <f t="shared" si="0"/>
        <v>-5.464857395308572E-2</v>
      </c>
      <c r="F67" s="17">
        <f t="shared" si="1"/>
        <v>-2.1319959090500138E-2</v>
      </c>
      <c r="G67" s="20"/>
      <c r="H67" s="20"/>
      <c r="J67" s="18"/>
      <c r="K67" s="18"/>
    </row>
    <row r="68" spans="2:11" x14ac:dyDescent="0.3">
      <c r="B68" s="9">
        <v>44669</v>
      </c>
      <c r="C68" s="10">
        <v>182.8328552246094</v>
      </c>
      <c r="D68" s="10">
        <v>4271.77978515625</v>
      </c>
      <c r="E68" s="17">
        <f t="shared" si="0"/>
        <v>-0.12403649295387997</v>
      </c>
      <c r="F68" s="17">
        <f t="shared" si="1"/>
        <v>-2.7503150280612856E-2</v>
      </c>
      <c r="G68" s="20"/>
      <c r="H68" s="20"/>
      <c r="J68" s="18"/>
      <c r="K68" s="18"/>
    </row>
    <row r="69" spans="2:11" x14ac:dyDescent="0.3">
      <c r="B69" s="9">
        <v>44676</v>
      </c>
      <c r="C69" s="10">
        <v>199.0793762207031</v>
      </c>
      <c r="D69" s="10">
        <v>4131.93017578125</v>
      </c>
      <c r="E69" s="17">
        <f t="shared" si="0"/>
        <v>8.8859964343579873E-2</v>
      </c>
      <c r="F69" s="17">
        <f t="shared" si="1"/>
        <v>-3.2738019375660461E-2</v>
      </c>
      <c r="G69" s="20"/>
      <c r="H69" s="20"/>
      <c r="J69" s="18"/>
      <c r="K69" s="18"/>
    </row>
    <row r="70" spans="2:11" x14ac:dyDescent="0.3">
      <c r="B70" s="9">
        <v>44683</v>
      </c>
      <c r="C70" s="10">
        <v>202.35646057128909</v>
      </c>
      <c r="D70" s="10">
        <v>4123.33984375</v>
      </c>
      <c r="E70" s="17">
        <f t="shared" si="0"/>
        <v>1.6461194588800389E-2</v>
      </c>
      <c r="F70" s="17">
        <f t="shared" si="1"/>
        <v>-2.0790119062517247E-3</v>
      </c>
      <c r="G70" s="20"/>
      <c r="H70" s="20"/>
      <c r="J70" s="18"/>
      <c r="K70" s="18"/>
    </row>
    <row r="71" spans="2:11" x14ac:dyDescent="0.3">
      <c r="B71" s="9">
        <v>44690</v>
      </c>
      <c r="C71" s="10">
        <v>197.2421875</v>
      </c>
      <c r="D71" s="10">
        <v>4023.889892578125</v>
      </c>
      <c r="E71" s="17">
        <f t="shared" si="0"/>
        <v>-2.5273584331582832E-2</v>
      </c>
      <c r="F71" s="17">
        <f t="shared" si="1"/>
        <v>-2.4118785969732135E-2</v>
      </c>
      <c r="G71" s="20"/>
      <c r="H71" s="20"/>
      <c r="J71" s="18"/>
      <c r="K71" s="18"/>
    </row>
    <row r="72" spans="2:11" x14ac:dyDescent="0.3">
      <c r="B72" s="9">
        <v>44697</v>
      </c>
      <c r="C72" s="10">
        <v>192.19743347167969</v>
      </c>
      <c r="D72" s="10">
        <v>3901.360107421875</v>
      </c>
      <c r="E72" s="17">
        <f t="shared" si="0"/>
        <v>-2.5576445344991483E-2</v>
      </c>
      <c r="F72" s="17">
        <f t="shared" si="1"/>
        <v>-3.0450581011734541E-2</v>
      </c>
      <c r="G72" s="20"/>
      <c r="H72" s="20"/>
      <c r="J72" s="18"/>
      <c r="K72" s="18"/>
    </row>
    <row r="73" spans="2:11" x14ac:dyDescent="0.3">
      <c r="B73" s="9">
        <v>44704</v>
      </c>
      <c r="C73" s="10">
        <v>193.77641296386719</v>
      </c>
      <c r="D73" s="10">
        <v>4158.240234375</v>
      </c>
      <c r="E73" s="17">
        <f t="shared" si="0"/>
        <v>8.2154036277501223E-3</v>
      </c>
      <c r="F73" s="17">
        <f t="shared" si="1"/>
        <v>6.5843736512412945E-2</v>
      </c>
      <c r="G73" s="20"/>
      <c r="H73" s="20"/>
      <c r="J73" s="18"/>
      <c r="K73" s="18"/>
    </row>
    <row r="74" spans="2:11" x14ac:dyDescent="0.3">
      <c r="B74" s="9">
        <v>44711</v>
      </c>
      <c r="C74" s="10">
        <v>189.45660400390619</v>
      </c>
      <c r="D74" s="10">
        <v>4108.5400390625</v>
      </c>
      <c r="E74" s="17">
        <f t="shared" ref="E74:E137" si="2">(C74-C73)/C73</f>
        <v>-2.2292749121981602E-2</v>
      </c>
      <c r="F74" s="17">
        <f t="shared" ref="F74:F137" si="3">(D74-D73)/D73</f>
        <v>-1.1952218369117419E-2</v>
      </c>
      <c r="G74" s="20"/>
      <c r="H74" s="20"/>
      <c r="J74" s="18"/>
      <c r="K74" s="18"/>
    </row>
    <row r="75" spans="2:11" x14ac:dyDescent="0.3">
      <c r="B75" s="9">
        <v>44718</v>
      </c>
      <c r="C75" s="10">
        <v>174.35209655761719</v>
      </c>
      <c r="D75" s="10">
        <v>3900.860107421875</v>
      </c>
      <c r="E75" s="17">
        <f t="shared" si="2"/>
        <v>-7.9725420634994507E-2</v>
      </c>
      <c r="F75" s="17">
        <f t="shared" si="3"/>
        <v>-5.0548352861619933E-2</v>
      </c>
      <c r="G75" s="20"/>
      <c r="H75" s="20"/>
      <c r="J75" s="18"/>
      <c r="K75" s="18"/>
    </row>
    <row r="76" spans="2:11" x14ac:dyDescent="0.3">
      <c r="B76" s="9">
        <v>44725</v>
      </c>
      <c r="C76" s="10">
        <v>162.6041564941406</v>
      </c>
      <c r="D76" s="10">
        <v>3674.840087890625</v>
      </c>
      <c r="E76" s="17">
        <f t="shared" si="2"/>
        <v>-6.7380549448077975E-2</v>
      </c>
      <c r="F76" s="17">
        <f t="shared" si="3"/>
        <v>-5.7941072816535669E-2</v>
      </c>
      <c r="G76" s="20"/>
      <c r="H76" s="20"/>
      <c r="J76" s="18"/>
      <c r="K76" s="18"/>
    </row>
    <row r="77" spans="2:11" x14ac:dyDescent="0.3">
      <c r="B77" s="9">
        <v>44732</v>
      </c>
      <c r="C77" s="10">
        <v>168.97962951660159</v>
      </c>
      <c r="D77" s="10">
        <v>3911.739990234375</v>
      </c>
      <c r="E77" s="17">
        <f t="shared" si="2"/>
        <v>3.9208548907485846E-2</v>
      </c>
      <c r="F77" s="17">
        <f t="shared" si="3"/>
        <v>6.4465363574427434E-2</v>
      </c>
      <c r="G77" s="20"/>
      <c r="H77" s="20"/>
      <c r="I77" t="s">
        <v>31</v>
      </c>
      <c r="J77" s="18"/>
      <c r="K77" s="18"/>
    </row>
    <row r="78" spans="2:11" x14ac:dyDescent="0.3">
      <c r="B78" s="9">
        <v>44739</v>
      </c>
      <c r="C78" s="10">
        <v>158.9198913574219</v>
      </c>
      <c r="D78" s="10">
        <v>3825.330078125</v>
      </c>
      <c r="E78" s="17">
        <f t="shared" si="2"/>
        <v>-5.9532253609251504E-2</v>
      </c>
      <c r="F78" s="17">
        <f t="shared" si="3"/>
        <v>-2.2089891538061474E-2</v>
      </c>
      <c r="G78" s="20"/>
      <c r="H78" s="20"/>
      <c r="J78" s="18"/>
      <c r="K78" s="18"/>
    </row>
    <row r="79" spans="2:11" x14ac:dyDescent="0.3">
      <c r="B79" s="9">
        <v>44746</v>
      </c>
      <c r="C79" s="10">
        <v>169.69464111328119</v>
      </c>
      <c r="D79" s="10">
        <v>3899.3798828125</v>
      </c>
      <c r="E79" s="17">
        <f t="shared" si="2"/>
        <v>6.7799881209496468E-2</v>
      </c>
      <c r="F79" s="17">
        <f t="shared" si="3"/>
        <v>1.9357755585838438E-2</v>
      </c>
      <c r="G79" s="20"/>
      <c r="H79" s="20"/>
      <c r="I79" t="s">
        <v>31</v>
      </c>
      <c r="J79" s="18"/>
      <c r="K79" s="18"/>
    </row>
    <row r="80" spans="2:11" x14ac:dyDescent="0.3">
      <c r="B80" s="9">
        <v>44753</v>
      </c>
      <c r="C80" s="10">
        <v>163.5574951171875</v>
      </c>
      <c r="D80" s="10">
        <v>3863.159912109375</v>
      </c>
      <c r="E80" s="17">
        <f t="shared" si="2"/>
        <v>-3.6165820887630658E-2</v>
      </c>
      <c r="F80" s="17">
        <f t="shared" si="3"/>
        <v>-9.2886489112727014E-3</v>
      </c>
      <c r="G80" s="20"/>
      <c r="H80" s="20"/>
      <c r="J80" s="18"/>
      <c r="K80" s="18"/>
    </row>
    <row r="81" spans="2:11" x14ac:dyDescent="0.3">
      <c r="B81" s="9">
        <v>44760</v>
      </c>
      <c r="C81" s="10">
        <v>168.09580993652341</v>
      </c>
      <c r="D81" s="10">
        <v>3961.6298828125</v>
      </c>
      <c r="E81" s="17">
        <f t="shared" si="2"/>
        <v>2.7747519709104412E-2</v>
      </c>
      <c r="F81" s="17">
        <f t="shared" si="3"/>
        <v>2.548948864230632E-2</v>
      </c>
      <c r="G81" s="20"/>
      <c r="H81" s="20"/>
      <c r="J81" s="18"/>
      <c r="K81" s="18"/>
    </row>
    <row r="82" spans="2:11" x14ac:dyDescent="0.3">
      <c r="B82" s="9">
        <v>44767</v>
      </c>
      <c r="C82" s="10">
        <v>157.996337890625</v>
      </c>
      <c r="D82" s="10">
        <v>4130.2900390625</v>
      </c>
      <c r="E82" s="17">
        <f t="shared" si="2"/>
        <v>-6.0081640641204484E-2</v>
      </c>
      <c r="F82" s="17">
        <f t="shared" si="3"/>
        <v>4.2573425897691947E-2</v>
      </c>
      <c r="G82" s="20"/>
      <c r="H82" s="20"/>
      <c r="J82" s="18"/>
      <c r="K82" s="18"/>
    </row>
    <row r="83" spans="2:11" x14ac:dyDescent="0.3">
      <c r="B83" s="9">
        <v>44774</v>
      </c>
      <c r="C83" s="10">
        <v>165.9507751464844</v>
      </c>
      <c r="D83" s="10">
        <v>4145.18994140625</v>
      </c>
      <c r="E83" s="17">
        <f t="shared" si="2"/>
        <v>5.0345706502172002E-2</v>
      </c>
      <c r="F83" s="17">
        <f t="shared" si="3"/>
        <v>3.6074711952025539E-3</v>
      </c>
      <c r="G83" s="20"/>
      <c r="H83" s="20"/>
      <c r="J83" s="18"/>
      <c r="K83" s="18"/>
    </row>
    <row r="84" spans="2:11" x14ac:dyDescent="0.3">
      <c r="B84" s="9">
        <v>44781</v>
      </c>
      <c r="C84" s="10">
        <v>179.24787902832031</v>
      </c>
      <c r="D84" s="10">
        <v>4280.14990234375</v>
      </c>
      <c r="E84" s="17">
        <f t="shared" si="2"/>
        <v>8.0126795853159363E-2</v>
      </c>
      <c r="F84" s="17">
        <f t="shared" si="3"/>
        <v>3.2558209115916899E-2</v>
      </c>
      <c r="G84" s="20"/>
      <c r="H84" s="20"/>
      <c r="J84" s="18"/>
      <c r="K84" s="18"/>
    </row>
    <row r="85" spans="2:11" x14ac:dyDescent="0.3">
      <c r="B85" s="9">
        <v>44788</v>
      </c>
      <c r="C85" s="10">
        <v>166.7948913574219</v>
      </c>
      <c r="D85" s="10">
        <v>4228.47998046875</v>
      </c>
      <c r="E85" s="17">
        <f t="shared" si="2"/>
        <v>-6.9473556610010964E-2</v>
      </c>
      <c r="F85" s="17">
        <f t="shared" si="3"/>
        <v>-1.2071988844761319E-2</v>
      </c>
      <c r="G85" s="20"/>
      <c r="H85" s="20"/>
      <c r="I85" t="s">
        <v>31</v>
      </c>
      <c r="J85" s="18"/>
      <c r="K85" s="18"/>
    </row>
    <row r="86" spans="2:11" x14ac:dyDescent="0.3">
      <c r="B86" s="9">
        <v>44795</v>
      </c>
      <c r="C86" s="10">
        <v>160.65777587890619</v>
      </c>
      <c r="D86" s="10">
        <v>4057.659912109375</v>
      </c>
      <c r="E86" s="17">
        <f t="shared" si="2"/>
        <v>-3.6794385179127524E-2</v>
      </c>
      <c r="F86" s="17">
        <f t="shared" si="3"/>
        <v>-4.0397511433987836E-2</v>
      </c>
      <c r="G86" s="20"/>
      <c r="H86" s="20"/>
      <c r="J86" s="18"/>
      <c r="K86" s="18"/>
    </row>
    <row r="87" spans="2:11" x14ac:dyDescent="0.3">
      <c r="B87" s="9">
        <v>44802</v>
      </c>
      <c r="C87" s="10">
        <v>159.20787048339841</v>
      </c>
      <c r="D87" s="10">
        <v>3924.260009765625</v>
      </c>
      <c r="E87" s="17">
        <f t="shared" si="2"/>
        <v>-9.0248068453321062E-3</v>
      </c>
      <c r="F87" s="17">
        <f t="shared" si="3"/>
        <v>-3.2876067791103282E-2</v>
      </c>
      <c r="G87" s="20"/>
      <c r="H87" s="20"/>
      <c r="I87" t="s">
        <v>31</v>
      </c>
      <c r="J87" s="18"/>
      <c r="K87" s="18"/>
    </row>
    <row r="88" spans="2:11" x14ac:dyDescent="0.3">
      <c r="B88" s="9">
        <v>44809</v>
      </c>
      <c r="C88" s="10">
        <v>167.97660827636719</v>
      </c>
      <c r="D88" s="10">
        <v>4067.360107421875</v>
      </c>
      <c r="E88" s="17">
        <f t="shared" si="2"/>
        <v>5.5077288367368429E-2</v>
      </c>
      <c r="F88" s="17">
        <f t="shared" si="3"/>
        <v>3.6465498539888189E-2</v>
      </c>
      <c r="G88" s="20"/>
      <c r="H88" s="20"/>
      <c r="J88" s="18"/>
      <c r="K88" s="18"/>
    </row>
    <row r="89" spans="2:11" x14ac:dyDescent="0.3">
      <c r="B89" s="9">
        <v>44816</v>
      </c>
      <c r="C89" s="10">
        <v>145.27519226074219</v>
      </c>
      <c r="D89" s="10">
        <v>3873.330078125</v>
      </c>
      <c r="E89" s="17">
        <f t="shared" si="2"/>
        <v>-0.1351462935736564</v>
      </c>
      <c r="F89" s="17">
        <f t="shared" si="3"/>
        <v>-4.77041678563992E-2</v>
      </c>
      <c r="G89" s="20"/>
      <c r="H89" s="20"/>
      <c r="J89" s="18"/>
      <c r="K89" s="18"/>
    </row>
    <row r="90" spans="2:11" x14ac:dyDescent="0.3">
      <c r="B90" s="9">
        <v>44823</v>
      </c>
      <c r="C90" s="10">
        <v>139.43598937988281</v>
      </c>
      <c r="D90" s="10">
        <v>3693.22998046875</v>
      </c>
      <c r="E90" s="17">
        <f t="shared" si="2"/>
        <v>-4.0194081246707848E-2</v>
      </c>
      <c r="F90" s="17">
        <f t="shared" si="3"/>
        <v>-4.6497482534055758E-2</v>
      </c>
      <c r="G90" s="20"/>
      <c r="H90" s="20"/>
      <c r="J90" s="18"/>
      <c r="K90" s="18"/>
    </row>
    <row r="91" spans="2:11" x14ac:dyDescent="0.3">
      <c r="B91" s="9">
        <v>44830</v>
      </c>
      <c r="C91" s="10">
        <v>134.7388000488281</v>
      </c>
      <c r="D91" s="10">
        <v>3585.6201171875</v>
      </c>
      <c r="E91" s="17">
        <f t="shared" si="2"/>
        <v>-3.3687065670381398E-2</v>
      </c>
      <c r="F91" s="17">
        <f t="shared" si="3"/>
        <v>-2.9137059931369884E-2</v>
      </c>
      <c r="G91" s="20"/>
      <c r="H91" s="20"/>
      <c r="J91" s="18"/>
      <c r="K91" s="18"/>
    </row>
    <row r="92" spans="2:11" x14ac:dyDescent="0.3">
      <c r="B92" s="9">
        <v>44837</v>
      </c>
      <c r="C92" s="10">
        <v>132.5242614746094</v>
      </c>
      <c r="D92" s="10">
        <v>3639.659912109375</v>
      </c>
      <c r="E92" s="17">
        <f t="shared" si="2"/>
        <v>-1.6435789642004862E-2</v>
      </c>
      <c r="F92" s="17">
        <f t="shared" si="3"/>
        <v>1.5071254944950194E-2</v>
      </c>
      <c r="G92" s="20"/>
      <c r="H92" s="20"/>
      <c r="J92" s="18"/>
      <c r="K92" s="18"/>
    </row>
    <row r="93" spans="2:11" x14ac:dyDescent="0.3">
      <c r="B93" s="9">
        <v>44844</v>
      </c>
      <c r="C93" s="10">
        <v>125.8806838989258</v>
      </c>
      <c r="D93" s="10">
        <v>3583.070068359375</v>
      </c>
      <c r="E93" s="17">
        <f t="shared" si="2"/>
        <v>-5.0131028852829822E-2</v>
      </c>
      <c r="F93" s="17">
        <f t="shared" si="3"/>
        <v>-1.5548113042573584E-2</v>
      </c>
      <c r="G93" s="20"/>
      <c r="H93" s="20"/>
      <c r="J93" s="18"/>
      <c r="K93" s="18"/>
    </row>
    <row r="94" spans="2:11" x14ac:dyDescent="0.3">
      <c r="B94" s="9">
        <v>44851</v>
      </c>
      <c r="C94" s="10">
        <v>129.10813903808591</v>
      </c>
      <c r="D94" s="10">
        <v>3752.75</v>
      </c>
      <c r="E94" s="17">
        <f t="shared" si="2"/>
        <v>2.5639002261471311E-2</v>
      </c>
      <c r="F94" s="17">
        <f t="shared" si="3"/>
        <v>4.7356018275779482E-2</v>
      </c>
      <c r="G94" s="20"/>
      <c r="H94" s="20"/>
      <c r="J94" s="18"/>
      <c r="K94" s="18"/>
    </row>
    <row r="95" spans="2:11" x14ac:dyDescent="0.3">
      <c r="B95" s="9">
        <v>44858</v>
      </c>
      <c r="C95" s="10">
        <v>98.511856079101563</v>
      </c>
      <c r="D95" s="10">
        <v>3901.06005859375</v>
      </c>
      <c r="E95" s="17">
        <f t="shared" si="2"/>
        <v>-0.23698182923974048</v>
      </c>
      <c r="F95" s="17">
        <f t="shared" si="3"/>
        <v>3.9520367355605886E-2</v>
      </c>
      <c r="G95" s="20"/>
      <c r="H95" s="20"/>
      <c r="J95" s="18"/>
      <c r="K95" s="18"/>
    </row>
    <row r="96" spans="2:11" x14ac:dyDescent="0.3">
      <c r="B96" s="9">
        <v>44865</v>
      </c>
      <c r="C96" s="10">
        <v>90.160194396972656</v>
      </c>
      <c r="D96" s="10">
        <v>3770.550048828125</v>
      </c>
      <c r="E96" s="17">
        <f t="shared" si="2"/>
        <v>-8.4778239031683814E-2</v>
      </c>
      <c r="F96" s="17">
        <f t="shared" si="3"/>
        <v>-3.345501166487324E-2</v>
      </c>
      <c r="G96" s="20"/>
      <c r="H96" s="20"/>
      <c r="J96" s="18"/>
      <c r="K96" s="18"/>
    </row>
    <row r="97" spans="2:11" x14ac:dyDescent="0.3">
      <c r="B97" s="9">
        <v>44872</v>
      </c>
      <c r="C97" s="10">
        <v>112.23598480224609</v>
      </c>
      <c r="D97" s="10">
        <v>3992.929931640625</v>
      </c>
      <c r="E97" s="17">
        <f t="shared" si="2"/>
        <v>0.24485074098303725</v>
      </c>
      <c r="F97" s="17">
        <f t="shared" si="3"/>
        <v>5.8978101320154859E-2</v>
      </c>
      <c r="G97" s="20"/>
      <c r="H97" s="20"/>
      <c r="J97" s="18"/>
      <c r="K97" s="18"/>
    </row>
    <row r="98" spans="2:11" x14ac:dyDescent="0.3">
      <c r="B98" s="9">
        <v>44879</v>
      </c>
      <c r="C98" s="10">
        <v>111.27272796630859</v>
      </c>
      <c r="D98" s="10">
        <v>3965.340087890625</v>
      </c>
      <c r="E98" s="17">
        <f t="shared" si="2"/>
        <v>-8.5824242343906718E-3</v>
      </c>
      <c r="F98" s="17">
        <f t="shared" si="3"/>
        <v>-6.9096739042109404E-3</v>
      </c>
      <c r="G98" s="20"/>
      <c r="H98" s="20"/>
      <c r="J98" s="18"/>
      <c r="K98" s="18"/>
    </row>
    <row r="99" spans="2:11" x14ac:dyDescent="0.3">
      <c r="B99" s="9">
        <v>44886</v>
      </c>
      <c r="C99" s="10">
        <v>110.6371612548828</v>
      </c>
      <c r="D99" s="10">
        <v>4026.1201171875</v>
      </c>
      <c r="E99" s="17">
        <f t="shared" si="2"/>
        <v>-5.7117923056423476E-3</v>
      </c>
      <c r="F99" s="17">
        <f t="shared" si="3"/>
        <v>1.5327822569994778E-2</v>
      </c>
      <c r="G99" s="20"/>
      <c r="H99" s="20"/>
      <c r="J99" s="18"/>
      <c r="K99" s="18"/>
    </row>
    <row r="100" spans="2:11" x14ac:dyDescent="0.3">
      <c r="B100" s="9">
        <v>44893</v>
      </c>
      <c r="C100" s="10">
        <v>122.6333694458008</v>
      </c>
      <c r="D100" s="10">
        <v>4071.699951171875</v>
      </c>
      <c r="E100" s="17">
        <f t="shared" si="2"/>
        <v>0.10842838025535985</v>
      </c>
      <c r="F100" s="17">
        <f t="shared" si="3"/>
        <v>1.1321031826595229E-2</v>
      </c>
      <c r="G100" s="20"/>
      <c r="H100" s="20"/>
      <c r="J100" s="18"/>
      <c r="K100" s="18"/>
    </row>
    <row r="101" spans="2:11" x14ac:dyDescent="0.3">
      <c r="B101" s="9">
        <v>44900</v>
      </c>
      <c r="C101" s="10">
        <v>115.0960159301758</v>
      </c>
      <c r="D101" s="10">
        <v>3934.3798828125</v>
      </c>
      <c r="E101" s="17">
        <f t="shared" si="2"/>
        <v>-6.1462500375611212E-2</v>
      </c>
      <c r="F101" s="17">
        <f t="shared" si="3"/>
        <v>-3.3725488126857911E-2</v>
      </c>
      <c r="G101" s="20"/>
      <c r="H101" s="20"/>
      <c r="J101" s="18"/>
      <c r="K101" s="18"/>
    </row>
    <row r="102" spans="2:11" x14ac:dyDescent="0.3">
      <c r="B102" s="9">
        <v>44907</v>
      </c>
      <c r="C102" s="10">
        <v>118.60153961181641</v>
      </c>
      <c r="D102" s="10">
        <v>3852.360107421875</v>
      </c>
      <c r="E102" s="17">
        <f t="shared" si="2"/>
        <v>3.0457385108510388E-2</v>
      </c>
      <c r="F102" s="17">
        <f t="shared" si="3"/>
        <v>-2.0846938484240365E-2</v>
      </c>
      <c r="G102" s="20"/>
      <c r="H102" s="20"/>
      <c r="J102" s="18"/>
      <c r="K102" s="18"/>
    </row>
    <row r="103" spans="2:11" x14ac:dyDescent="0.3">
      <c r="B103" s="9">
        <v>44914</v>
      </c>
      <c r="C103" s="10">
        <v>117.22117614746089</v>
      </c>
      <c r="D103" s="10">
        <v>3844.820068359375</v>
      </c>
      <c r="E103" s="17">
        <f t="shared" si="2"/>
        <v>-1.1638663957259323E-2</v>
      </c>
      <c r="F103" s="17">
        <f t="shared" si="3"/>
        <v>-1.9572518799510774E-3</v>
      </c>
      <c r="G103" s="20"/>
      <c r="H103" s="20"/>
      <c r="J103" s="18"/>
      <c r="K103" s="18"/>
    </row>
    <row r="104" spans="2:11" x14ac:dyDescent="0.3">
      <c r="B104" s="9">
        <v>44921</v>
      </c>
      <c r="C104" s="10">
        <v>119.5052185058594</v>
      </c>
      <c r="D104" s="10">
        <v>3839.5</v>
      </c>
      <c r="E104" s="17">
        <f t="shared" si="2"/>
        <v>1.9484895421329407E-2</v>
      </c>
      <c r="F104" s="17">
        <f t="shared" si="3"/>
        <v>-1.3836976151773805E-3</v>
      </c>
      <c r="G104" s="20"/>
      <c r="H104" s="20"/>
      <c r="J104" s="18"/>
      <c r="K104" s="18"/>
    </row>
    <row r="105" spans="2:11" x14ac:dyDescent="0.3">
      <c r="B105" s="9">
        <v>44928</v>
      </c>
      <c r="C105" s="10">
        <v>129.1180725097656</v>
      </c>
      <c r="D105" s="10">
        <v>3895.080078125</v>
      </c>
      <c r="E105" s="17">
        <f t="shared" si="2"/>
        <v>8.0438780197995038E-2</v>
      </c>
      <c r="F105" s="17">
        <f t="shared" si="3"/>
        <v>1.4475863556452664E-2</v>
      </c>
      <c r="G105" s="20"/>
      <c r="H105" s="20"/>
      <c r="J105" s="18"/>
      <c r="K105" s="18"/>
    </row>
    <row r="106" spans="2:11" x14ac:dyDescent="0.3">
      <c r="B106" s="9">
        <v>44935</v>
      </c>
      <c r="C106" s="10">
        <v>136.02978515625</v>
      </c>
      <c r="D106" s="10">
        <v>3999.090087890625</v>
      </c>
      <c r="E106" s="17">
        <f t="shared" si="2"/>
        <v>5.3530172129557227E-2</v>
      </c>
      <c r="F106" s="17">
        <f t="shared" si="3"/>
        <v>2.6702919498305406E-2</v>
      </c>
      <c r="G106" s="20"/>
      <c r="H106" s="20"/>
      <c r="J106" s="18"/>
      <c r="K106" s="18"/>
    </row>
    <row r="107" spans="2:11" x14ac:dyDescent="0.3">
      <c r="B107" s="9">
        <v>44942</v>
      </c>
      <c r="C107" s="10">
        <v>138.40321350097659</v>
      </c>
      <c r="D107" s="10">
        <v>3972.610107421875</v>
      </c>
      <c r="E107" s="17">
        <f t="shared" si="2"/>
        <v>1.7447857776150738E-2</v>
      </c>
      <c r="F107" s="17">
        <f t="shared" si="3"/>
        <v>-6.621501363255667E-3</v>
      </c>
      <c r="G107" s="20"/>
      <c r="H107" s="20"/>
      <c r="J107" s="18"/>
      <c r="K107" s="18"/>
    </row>
    <row r="108" spans="2:11" x14ac:dyDescent="0.3">
      <c r="B108" s="9">
        <v>44949</v>
      </c>
      <c r="C108" s="10">
        <v>150.68739318847659</v>
      </c>
      <c r="D108" s="10">
        <v>4070.56005859375</v>
      </c>
      <c r="E108" s="17">
        <f t="shared" si="2"/>
        <v>8.8756462922830334E-2</v>
      </c>
      <c r="F108" s="17">
        <f t="shared" si="3"/>
        <v>2.4656321290850786E-2</v>
      </c>
      <c r="G108" s="20"/>
      <c r="H108" s="20"/>
      <c r="J108" s="18"/>
      <c r="K108" s="18"/>
    </row>
    <row r="109" spans="2:11" x14ac:dyDescent="0.3">
      <c r="B109" s="9">
        <v>44956</v>
      </c>
      <c r="C109" s="10">
        <v>185.23606872558591</v>
      </c>
      <c r="D109" s="10">
        <v>4136.47998046875</v>
      </c>
      <c r="E109" s="17">
        <f t="shared" si="2"/>
        <v>0.22927382846086247</v>
      </c>
      <c r="F109" s="17">
        <f t="shared" si="3"/>
        <v>1.6194312558005408E-2</v>
      </c>
      <c r="G109" s="20"/>
      <c r="H109" s="20"/>
      <c r="J109" s="18"/>
      <c r="K109" s="18"/>
    </row>
    <row r="110" spans="2:11" x14ac:dyDescent="0.3">
      <c r="B110" s="9">
        <v>44963</v>
      </c>
      <c r="C110" s="10">
        <v>172.9419250488281</v>
      </c>
      <c r="D110" s="10">
        <v>4090.4599609375</v>
      </c>
      <c r="E110" s="17">
        <f t="shared" si="2"/>
        <v>-6.6370139257115809E-2</v>
      </c>
      <c r="F110" s="17">
        <f t="shared" si="3"/>
        <v>-1.1125406081630538E-2</v>
      </c>
      <c r="G110" s="20"/>
      <c r="H110" s="20"/>
      <c r="I110" t="s">
        <v>31</v>
      </c>
      <c r="J110" s="18"/>
      <c r="K110" s="18"/>
    </row>
    <row r="111" spans="2:11" x14ac:dyDescent="0.3">
      <c r="B111" s="9">
        <v>44970</v>
      </c>
      <c r="C111" s="10">
        <v>171.68074035644531</v>
      </c>
      <c r="D111" s="10">
        <v>4079.090087890625</v>
      </c>
      <c r="E111" s="17">
        <f t="shared" si="2"/>
        <v>-7.2925329819631853E-3</v>
      </c>
      <c r="F111" s="17">
        <f t="shared" si="3"/>
        <v>-2.7796074660193272E-3</v>
      </c>
      <c r="G111" s="20"/>
      <c r="H111" s="20"/>
      <c r="J111" s="18"/>
      <c r="K111" s="18"/>
    </row>
    <row r="112" spans="2:11" x14ac:dyDescent="0.3">
      <c r="B112" s="9">
        <v>44977</v>
      </c>
      <c r="C112" s="10">
        <v>169.20802307128909</v>
      </c>
      <c r="D112" s="10">
        <v>3970.0400390625</v>
      </c>
      <c r="E112" s="17">
        <f t="shared" si="2"/>
        <v>-1.4402997564096827E-2</v>
      </c>
      <c r="F112" s="17">
        <f t="shared" si="3"/>
        <v>-2.6733915279747316E-2</v>
      </c>
      <c r="G112" s="20"/>
      <c r="H112" s="20"/>
      <c r="I112" t="s">
        <v>31</v>
      </c>
      <c r="J112" s="18"/>
      <c r="K112" s="18"/>
    </row>
    <row r="113" spans="2:11" x14ac:dyDescent="0.3">
      <c r="B113" s="9">
        <v>44984</v>
      </c>
      <c r="C113" s="10">
        <v>183.96495056152341</v>
      </c>
      <c r="D113" s="10">
        <v>4045.639892578125</v>
      </c>
      <c r="E113" s="17">
        <f t="shared" si="2"/>
        <v>8.7211748133343966E-2</v>
      </c>
      <c r="F113" s="17">
        <f t="shared" si="3"/>
        <v>1.9042592208585743E-2</v>
      </c>
      <c r="G113" s="20"/>
      <c r="H113" s="20"/>
      <c r="J113" s="18"/>
      <c r="K113" s="18"/>
    </row>
    <row r="114" spans="2:11" x14ac:dyDescent="0.3">
      <c r="B114" s="9">
        <v>44991</v>
      </c>
      <c r="C114" s="10">
        <v>178.2647705078125</v>
      </c>
      <c r="D114" s="10">
        <v>3861.590087890625</v>
      </c>
      <c r="E114" s="17">
        <f t="shared" si="2"/>
        <v>-3.0985141660474055E-2</v>
      </c>
      <c r="F114" s="17">
        <f t="shared" si="3"/>
        <v>-4.5493373007604095E-2</v>
      </c>
      <c r="G114" s="20"/>
      <c r="H114" s="20"/>
      <c r="J114" s="18"/>
      <c r="K114" s="18"/>
    </row>
    <row r="115" spans="2:11" x14ac:dyDescent="0.3">
      <c r="B115" s="9">
        <v>44998</v>
      </c>
      <c r="C115" s="10">
        <v>194.2530822753906</v>
      </c>
      <c r="D115" s="10">
        <v>3916.639892578125</v>
      </c>
      <c r="E115" s="17">
        <f t="shared" si="2"/>
        <v>8.9688566742790077E-2</v>
      </c>
      <c r="F115" s="17">
        <f t="shared" si="3"/>
        <v>1.4255734926430447E-2</v>
      </c>
      <c r="G115" s="20"/>
      <c r="H115" s="20"/>
      <c r="J115" s="18"/>
      <c r="K115" s="18"/>
    </row>
    <row r="116" spans="2:11" x14ac:dyDescent="0.3">
      <c r="B116" s="9">
        <v>45005</v>
      </c>
      <c r="C116" s="10">
        <v>204.58094787597659</v>
      </c>
      <c r="D116" s="10">
        <v>3970.989990234375</v>
      </c>
      <c r="E116" s="17">
        <f t="shared" si="2"/>
        <v>5.3167061647672008E-2</v>
      </c>
      <c r="F116" s="17">
        <f t="shared" si="3"/>
        <v>1.3876715538551616E-2</v>
      </c>
      <c r="G116" s="20"/>
      <c r="H116" s="20"/>
      <c r="J116" s="18"/>
      <c r="K116" s="18"/>
    </row>
    <row r="117" spans="2:11" x14ac:dyDescent="0.3">
      <c r="B117" s="9">
        <v>45012</v>
      </c>
      <c r="C117" s="10">
        <v>210.46980285644531</v>
      </c>
      <c r="D117" s="10">
        <v>4109.31005859375</v>
      </c>
      <c r="E117" s="17">
        <f t="shared" si="2"/>
        <v>2.8784962830647999E-2</v>
      </c>
      <c r="F117" s="17">
        <f t="shared" si="3"/>
        <v>3.4832640903033632E-2</v>
      </c>
      <c r="G117" s="20"/>
      <c r="H117" s="20"/>
      <c r="J117" s="18"/>
      <c r="K117" s="18"/>
    </row>
    <row r="118" spans="2:11" x14ac:dyDescent="0.3">
      <c r="B118" s="9">
        <v>45019</v>
      </c>
      <c r="C118" s="10">
        <v>214.6009521484375</v>
      </c>
      <c r="D118" s="10">
        <v>4105.02001953125</v>
      </c>
      <c r="E118" s="17">
        <f t="shared" si="2"/>
        <v>1.9628228068469811E-2</v>
      </c>
      <c r="F118" s="17">
        <f t="shared" si="3"/>
        <v>-1.0439803765910274E-3</v>
      </c>
      <c r="G118" s="20"/>
      <c r="H118" s="20"/>
      <c r="I118" t="s">
        <v>31</v>
      </c>
      <c r="J118" s="18"/>
      <c r="K118" s="18"/>
    </row>
    <row r="119" spans="2:11" x14ac:dyDescent="0.3">
      <c r="B119" s="9">
        <v>45026</v>
      </c>
      <c r="C119" s="10">
        <v>219.95355224609381</v>
      </c>
      <c r="D119" s="10">
        <v>4137.64013671875</v>
      </c>
      <c r="E119" s="17">
        <f t="shared" si="2"/>
        <v>2.4942107870770128E-2</v>
      </c>
      <c r="F119" s="17">
        <f t="shared" si="3"/>
        <v>7.9463966149487565E-3</v>
      </c>
      <c r="G119" s="20"/>
      <c r="H119" s="20"/>
      <c r="J119" s="18"/>
      <c r="K119" s="18"/>
    </row>
    <row r="120" spans="2:11" x14ac:dyDescent="0.3">
      <c r="B120" s="9">
        <v>45033</v>
      </c>
      <c r="C120" s="10">
        <v>211.4132080078125</v>
      </c>
      <c r="D120" s="10">
        <v>4133.52001953125</v>
      </c>
      <c r="E120" s="17">
        <f t="shared" si="2"/>
        <v>-3.882794413215928E-2</v>
      </c>
      <c r="F120" s="17">
        <f t="shared" si="3"/>
        <v>-9.9576498954965999E-4</v>
      </c>
      <c r="G120" s="20"/>
      <c r="H120" s="20"/>
      <c r="I120" t="s">
        <v>31</v>
      </c>
      <c r="J120" s="18"/>
      <c r="K120" s="18"/>
    </row>
    <row r="121" spans="2:11" x14ac:dyDescent="0.3">
      <c r="B121" s="9">
        <v>45040</v>
      </c>
      <c r="C121" s="10">
        <v>238.65293884277341</v>
      </c>
      <c r="D121" s="10">
        <v>4169.47998046875</v>
      </c>
      <c r="E121" s="17">
        <f t="shared" si="2"/>
        <v>0.12884592732708686</v>
      </c>
      <c r="F121" s="17">
        <f t="shared" si="3"/>
        <v>8.699597623232979E-3</v>
      </c>
      <c r="G121" s="20"/>
      <c r="H121" s="20"/>
      <c r="J121" s="18"/>
      <c r="K121" s="18"/>
    </row>
    <row r="122" spans="2:11" x14ac:dyDescent="0.3">
      <c r="B122" s="9">
        <v>45047</v>
      </c>
      <c r="C122" s="10">
        <v>231.1652526855469</v>
      </c>
      <c r="D122" s="10">
        <v>4136.25</v>
      </c>
      <c r="E122" s="17">
        <f t="shared" si="2"/>
        <v>-3.1374791333114306E-2</v>
      </c>
      <c r="F122" s="17">
        <f t="shared" si="3"/>
        <v>-7.9698141313570108E-3</v>
      </c>
      <c r="G122" s="20"/>
      <c r="H122" s="20"/>
      <c r="J122" s="18"/>
      <c r="K122" s="18"/>
    </row>
    <row r="123" spans="2:11" x14ac:dyDescent="0.3">
      <c r="B123" s="9">
        <v>45054</v>
      </c>
      <c r="C123" s="10">
        <v>232.18809509277341</v>
      </c>
      <c r="D123" s="10">
        <v>4124.080078125</v>
      </c>
      <c r="E123" s="17">
        <f t="shared" si="2"/>
        <v>4.4247238516329866E-3</v>
      </c>
      <c r="F123" s="17">
        <f t="shared" si="3"/>
        <v>-2.9422597461468722E-3</v>
      </c>
      <c r="G123" s="20"/>
      <c r="H123" s="20"/>
      <c r="J123" s="18"/>
      <c r="K123" s="18"/>
    </row>
    <row r="124" spans="2:11" x14ac:dyDescent="0.3">
      <c r="B124" s="9">
        <v>45061</v>
      </c>
      <c r="C124" s="10">
        <v>243.93598937988281</v>
      </c>
      <c r="D124" s="10">
        <v>4191.97998046875</v>
      </c>
      <c r="E124" s="17">
        <f t="shared" si="2"/>
        <v>5.059645406201984E-2</v>
      </c>
      <c r="F124" s="17">
        <f t="shared" si="3"/>
        <v>1.6464254102122208E-2</v>
      </c>
      <c r="G124" s="20"/>
      <c r="H124" s="20"/>
      <c r="J124" s="18"/>
      <c r="K124" s="18"/>
    </row>
    <row r="125" spans="2:11" x14ac:dyDescent="0.3">
      <c r="B125" s="9">
        <v>45068</v>
      </c>
      <c r="C125" s="10">
        <v>260.22232055664063</v>
      </c>
      <c r="D125" s="10">
        <v>4205.4501953125</v>
      </c>
      <c r="E125" s="17">
        <f t="shared" si="2"/>
        <v>6.6764773898922408E-2</v>
      </c>
      <c r="F125" s="17">
        <f t="shared" si="3"/>
        <v>3.2133299554173329E-3</v>
      </c>
      <c r="G125" s="20"/>
      <c r="H125" s="20"/>
      <c r="J125" s="18"/>
      <c r="K125" s="18"/>
    </row>
    <row r="126" spans="2:11" x14ac:dyDescent="0.3">
      <c r="B126" s="9">
        <v>45075</v>
      </c>
      <c r="C126" s="10">
        <v>270.71893310546881</v>
      </c>
      <c r="D126" s="10">
        <v>4282.3701171875</v>
      </c>
      <c r="E126" s="17">
        <f t="shared" si="2"/>
        <v>4.0337095320550964E-2</v>
      </c>
      <c r="F126" s="17">
        <f t="shared" si="3"/>
        <v>1.8290532119661498E-2</v>
      </c>
      <c r="G126" s="20"/>
      <c r="H126" s="20"/>
      <c r="J126" s="18"/>
      <c r="K126" s="18"/>
    </row>
    <row r="127" spans="2:11" x14ac:dyDescent="0.3">
      <c r="B127" s="9">
        <v>45082</v>
      </c>
      <c r="C127" s="10">
        <v>263.11209106445313</v>
      </c>
      <c r="D127" s="10">
        <v>4298.85986328125</v>
      </c>
      <c r="E127" s="17">
        <f t="shared" si="2"/>
        <v>-2.8098670284180487E-2</v>
      </c>
      <c r="F127" s="17">
        <f t="shared" si="3"/>
        <v>3.8506120775426683E-3</v>
      </c>
      <c r="G127" s="20"/>
      <c r="H127" s="20"/>
      <c r="J127" s="18"/>
      <c r="K127" s="18"/>
    </row>
    <row r="128" spans="2:11" x14ac:dyDescent="0.3">
      <c r="B128" s="9">
        <v>45089</v>
      </c>
      <c r="C128" s="10">
        <v>279.05072021484381</v>
      </c>
      <c r="D128" s="10">
        <v>4409.58984375</v>
      </c>
      <c r="E128" s="17">
        <f t="shared" si="2"/>
        <v>6.0577334496141735E-2</v>
      </c>
      <c r="F128" s="17">
        <f t="shared" si="3"/>
        <v>2.5757987929439414E-2</v>
      </c>
      <c r="G128" s="20"/>
      <c r="H128" s="20"/>
      <c r="J128" s="18"/>
      <c r="K128" s="18"/>
    </row>
    <row r="129" spans="2:11" x14ac:dyDescent="0.3">
      <c r="B129" s="9">
        <v>45096</v>
      </c>
      <c r="C129" s="10">
        <v>286.72714233398438</v>
      </c>
      <c r="D129" s="10">
        <v>4348.330078125</v>
      </c>
      <c r="E129" s="17">
        <f t="shared" si="2"/>
        <v>2.750905682390075E-2</v>
      </c>
      <c r="F129" s="17">
        <f t="shared" si="3"/>
        <v>-1.3892395391790796E-2</v>
      </c>
      <c r="G129" s="20"/>
      <c r="H129" s="20"/>
      <c r="J129" s="18"/>
      <c r="K129" s="18"/>
    </row>
    <row r="130" spans="2:11" x14ac:dyDescent="0.3">
      <c r="B130" s="9">
        <v>45103</v>
      </c>
      <c r="C130" s="10">
        <v>284.98928833007813</v>
      </c>
      <c r="D130" s="10">
        <v>4450.3798828125</v>
      </c>
      <c r="E130" s="17">
        <f t="shared" si="2"/>
        <v>-6.0610027699504283E-3</v>
      </c>
      <c r="F130" s="17">
        <f t="shared" si="3"/>
        <v>2.3468734630077547E-2</v>
      </c>
      <c r="G130" s="20"/>
      <c r="H130" s="20"/>
      <c r="J130" s="18"/>
      <c r="K130" s="18"/>
    </row>
    <row r="131" spans="2:11" x14ac:dyDescent="0.3">
      <c r="B131" s="9">
        <v>45110</v>
      </c>
      <c r="C131" s="10">
        <v>288.5146484375</v>
      </c>
      <c r="D131" s="10">
        <v>4398.9501953125</v>
      </c>
      <c r="E131" s="17">
        <f t="shared" si="2"/>
        <v>1.2370149517124163E-2</v>
      </c>
      <c r="F131" s="17">
        <f t="shared" si="3"/>
        <v>-1.155624662483825E-2</v>
      </c>
      <c r="G131" s="20"/>
      <c r="H131" s="20"/>
      <c r="J131" s="18"/>
      <c r="K131" s="18"/>
    </row>
    <row r="132" spans="2:11" x14ac:dyDescent="0.3">
      <c r="B132" s="9">
        <v>45117</v>
      </c>
      <c r="C132" s="10">
        <v>306.72738647460938</v>
      </c>
      <c r="D132" s="10">
        <v>4505.419921875</v>
      </c>
      <c r="E132" s="17">
        <f t="shared" si="2"/>
        <v>6.3125869468824355E-2</v>
      </c>
      <c r="F132" s="17">
        <f t="shared" si="3"/>
        <v>2.4203439874348573E-2</v>
      </c>
      <c r="G132" s="20"/>
      <c r="H132" s="20"/>
      <c r="J132" s="18"/>
      <c r="K132" s="18"/>
    </row>
    <row r="133" spans="2:11" x14ac:dyDescent="0.3">
      <c r="B133" s="9">
        <v>45124</v>
      </c>
      <c r="C133" s="10">
        <v>292.21878051757813</v>
      </c>
      <c r="D133" s="10">
        <v>4536.33984375</v>
      </c>
      <c r="E133" s="17">
        <f t="shared" si="2"/>
        <v>-4.730130597005644E-2</v>
      </c>
      <c r="F133" s="17">
        <f t="shared" si="3"/>
        <v>6.862827974119713E-3</v>
      </c>
      <c r="G133" s="20"/>
      <c r="H133" s="20"/>
      <c r="J133" s="18"/>
      <c r="K133" s="18"/>
    </row>
    <row r="134" spans="2:11" x14ac:dyDescent="0.3">
      <c r="B134" s="9">
        <v>45131</v>
      </c>
      <c r="C134" s="10">
        <v>323.22219848632813</v>
      </c>
      <c r="D134" s="10">
        <v>4582.22998046875</v>
      </c>
      <c r="E134" s="17">
        <f t="shared" si="2"/>
        <v>0.10609659623463188</v>
      </c>
      <c r="F134" s="17">
        <f t="shared" si="3"/>
        <v>1.0116115260186187E-2</v>
      </c>
      <c r="G134" s="20"/>
      <c r="H134" s="20"/>
      <c r="J134" s="18"/>
      <c r="K134" s="18"/>
    </row>
    <row r="135" spans="2:11" x14ac:dyDescent="0.3">
      <c r="B135" s="9">
        <v>45138</v>
      </c>
      <c r="C135" s="10">
        <v>308.57455444335938</v>
      </c>
      <c r="D135" s="10">
        <v>4478.02978515625</v>
      </c>
      <c r="E135" s="17">
        <f t="shared" si="2"/>
        <v>-4.5317568259744159E-2</v>
      </c>
      <c r="F135" s="17">
        <f t="shared" si="3"/>
        <v>-2.2740062318269017E-2</v>
      </c>
      <c r="G135" s="20"/>
      <c r="H135" s="20"/>
      <c r="J135" s="18"/>
      <c r="K135" s="18"/>
    </row>
    <row r="136" spans="2:11" x14ac:dyDescent="0.3">
      <c r="B136" s="9">
        <v>45145</v>
      </c>
      <c r="C136" s="10">
        <v>299.54751586914063</v>
      </c>
      <c r="D136" s="10">
        <v>4464.0498046875</v>
      </c>
      <c r="E136" s="17">
        <f t="shared" si="2"/>
        <v>-2.9253995328625566E-2</v>
      </c>
      <c r="F136" s="17">
        <f t="shared" si="3"/>
        <v>-3.1219043060166252E-3</v>
      </c>
      <c r="G136" s="20"/>
      <c r="H136" s="20"/>
      <c r="J136" s="18"/>
      <c r="K136" s="18"/>
    </row>
    <row r="137" spans="2:11" x14ac:dyDescent="0.3">
      <c r="B137" s="9">
        <v>45152</v>
      </c>
      <c r="C137" s="10">
        <v>281.28509521484381</v>
      </c>
      <c r="D137" s="10">
        <v>4369.7099609375</v>
      </c>
      <c r="E137" s="17">
        <f t="shared" si="2"/>
        <v>-6.0966690380683648E-2</v>
      </c>
      <c r="F137" s="17">
        <f t="shared" si="3"/>
        <v>-2.113324175974424E-2</v>
      </c>
      <c r="G137" s="20"/>
      <c r="H137" s="20"/>
      <c r="J137" s="18"/>
      <c r="K137" s="18"/>
    </row>
    <row r="138" spans="2:11" x14ac:dyDescent="0.3">
      <c r="B138" s="9">
        <v>45159</v>
      </c>
      <c r="C138" s="10">
        <v>283.51950073242188</v>
      </c>
      <c r="D138" s="10">
        <v>4405.7099609375</v>
      </c>
      <c r="E138" s="17">
        <f t="shared" ref="E138:E201" si="4">(C138-C137)/C137</f>
        <v>7.9435617300356535E-3</v>
      </c>
      <c r="F138" s="17">
        <f t="shared" ref="F138:F201" si="5">(D138-D137)/D137</f>
        <v>8.238533065539292E-3</v>
      </c>
      <c r="G138" s="20"/>
      <c r="H138" s="20"/>
      <c r="J138" s="18"/>
      <c r="K138" s="18"/>
    </row>
    <row r="139" spans="2:11" x14ac:dyDescent="0.3">
      <c r="B139" s="9">
        <v>45166</v>
      </c>
      <c r="C139" s="10">
        <v>294.3240966796875</v>
      </c>
      <c r="D139" s="10">
        <v>4515.77001953125</v>
      </c>
      <c r="E139" s="17">
        <f t="shared" si="4"/>
        <v>3.8108828208831796E-2</v>
      </c>
      <c r="F139" s="17">
        <f t="shared" si="5"/>
        <v>2.4981231077301807E-2</v>
      </c>
      <c r="G139" s="20"/>
      <c r="H139" s="20"/>
      <c r="J139" s="18"/>
      <c r="K139" s="18"/>
    </row>
    <row r="140" spans="2:11" x14ac:dyDescent="0.3">
      <c r="B140" s="9">
        <v>45173</v>
      </c>
      <c r="C140" s="10">
        <v>295.8236083984375</v>
      </c>
      <c r="D140" s="10">
        <v>4457.490234375</v>
      </c>
      <c r="E140" s="17">
        <f t="shared" si="4"/>
        <v>5.0947636828455687E-3</v>
      </c>
      <c r="F140" s="17">
        <f t="shared" si="5"/>
        <v>-1.2905835528422152E-2</v>
      </c>
      <c r="G140" s="20"/>
      <c r="H140" s="20"/>
      <c r="J140" s="18"/>
      <c r="K140" s="18"/>
    </row>
    <row r="141" spans="2:11" x14ac:dyDescent="0.3">
      <c r="B141" s="9">
        <v>45180</v>
      </c>
      <c r="C141" s="10">
        <v>298.226806640625</v>
      </c>
      <c r="D141" s="10">
        <v>4450.31982421875</v>
      </c>
      <c r="E141" s="17">
        <f t="shared" si="4"/>
        <v>8.1237540681698799E-3</v>
      </c>
      <c r="F141" s="17">
        <f t="shared" si="5"/>
        <v>-1.6086204970127966E-3</v>
      </c>
      <c r="G141" s="20"/>
      <c r="H141" s="20"/>
      <c r="J141" s="18"/>
      <c r="K141" s="18"/>
    </row>
    <row r="142" spans="2:11" x14ac:dyDescent="0.3">
      <c r="B142" s="9">
        <v>45187</v>
      </c>
      <c r="C142" s="10">
        <v>297.00534057617188</v>
      </c>
      <c r="D142" s="10">
        <v>4320.06005859375</v>
      </c>
      <c r="E142" s="17">
        <f t="shared" si="4"/>
        <v>-4.095762142284679E-3</v>
      </c>
      <c r="F142" s="17">
        <f t="shared" si="5"/>
        <v>-2.9269753808731487E-2</v>
      </c>
      <c r="G142" s="20"/>
      <c r="H142" s="20"/>
      <c r="J142" s="18"/>
      <c r="K142" s="18"/>
    </row>
    <row r="143" spans="2:11" x14ac:dyDescent="0.3">
      <c r="B143" s="9">
        <v>45194</v>
      </c>
      <c r="C143" s="10">
        <v>298.12747192382813</v>
      </c>
      <c r="D143" s="10">
        <v>4288.0498046875</v>
      </c>
      <c r="E143" s="17">
        <f t="shared" si="4"/>
        <v>3.7781520880378278E-3</v>
      </c>
      <c r="F143" s="17">
        <f t="shared" si="5"/>
        <v>-7.4096779841227164E-3</v>
      </c>
      <c r="G143" s="20"/>
      <c r="H143" s="20"/>
      <c r="I143" t="s">
        <v>31</v>
      </c>
      <c r="J143" s="18"/>
      <c r="K143" s="18"/>
    </row>
    <row r="144" spans="2:11" x14ac:dyDescent="0.3">
      <c r="B144" s="9">
        <v>45201</v>
      </c>
      <c r="C144" s="10">
        <v>313.24188232421881</v>
      </c>
      <c r="D144" s="10">
        <v>4308.5</v>
      </c>
      <c r="E144" s="17">
        <f t="shared" si="4"/>
        <v>5.0697811586623689E-2</v>
      </c>
      <c r="F144" s="17">
        <f t="shared" si="5"/>
        <v>4.7691132901825865E-3</v>
      </c>
      <c r="G144" s="20"/>
      <c r="H144" s="20"/>
      <c r="J144" s="18"/>
      <c r="K144" s="18"/>
    </row>
    <row r="145" spans="2:11" x14ac:dyDescent="0.3">
      <c r="B145" s="9">
        <v>45208</v>
      </c>
      <c r="C145" s="10">
        <v>312.50704956054688</v>
      </c>
      <c r="D145" s="10">
        <v>4327.77978515625</v>
      </c>
      <c r="E145" s="17">
        <f t="shared" si="4"/>
        <v>-2.3458956325366105E-3</v>
      </c>
      <c r="F145" s="17">
        <f t="shared" si="5"/>
        <v>4.474825381513288E-3</v>
      </c>
      <c r="G145" s="20"/>
      <c r="H145" s="20"/>
      <c r="I145" t="s">
        <v>31</v>
      </c>
      <c r="J145" s="18"/>
      <c r="K145" s="18"/>
    </row>
    <row r="146" spans="2:11" x14ac:dyDescent="0.3">
      <c r="B146" s="9">
        <v>45215</v>
      </c>
      <c r="C146" s="10">
        <v>306.50888061523438</v>
      </c>
      <c r="D146" s="10">
        <v>4224.16015625</v>
      </c>
      <c r="E146" s="17">
        <f t="shared" si="4"/>
        <v>-1.919370764194675E-2</v>
      </c>
      <c r="F146" s="17">
        <f t="shared" si="5"/>
        <v>-2.3942906998561369E-2</v>
      </c>
      <c r="G146" s="20"/>
      <c r="H146" s="20"/>
      <c r="J146" s="18"/>
      <c r="K146" s="18"/>
    </row>
    <row r="147" spans="2:11" x14ac:dyDescent="0.3">
      <c r="B147" s="9">
        <v>45222</v>
      </c>
      <c r="C147" s="10">
        <v>294.671630859375</v>
      </c>
      <c r="D147" s="10">
        <v>4117.3701171875</v>
      </c>
      <c r="E147" s="17">
        <f t="shared" si="4"/>
        <v>-3.8619598010012864E-2</v>
      </c>
      <c r="F147" s="17">
        <f t="shared" si="5"/>
        <v>-2.5280774192355176E-2</v>
      </c>
      <c r="G147" s="20"/>
      <c r="H147" s="20"/>
      <c r="J147" s="18"/>
      <c r="K147" s="18"/>
    </row>
    <row r="148" spans="2:11" x14ac:dyDescent="0.3">
      <c r="B148" s="9">
        <v>45229</v>
      </c>
      <c r="C148" s="10">
        <v>312.41766357421881</v>
      </c>
      <c r="D148" s="10">
        <v>4358.33984375</v>
      </c>
      <c r="E148" s="17">
        <f t="shared" si="4"/>
        <v>6.022307835704984E-2</v>
      </c>
      <c r="F148" s="17">
        <f t="shared" si="5"/>
        <v>5.8525155549315054E-2</v>
      </c>
      <c r="G148" s="20"/>
      <c r="H148" s="20"/>
      <c r="J148" s="18"/>
      <c r="K148" s="18"/>
    </row>
    <row r="149" spans="2:11" x14ac:dyDescent="0.3">
      <c r="B149" s="9">
        <v>45236</v>
      </c>
      <c r="C149" s="10">
        <v>326.4893798828125</v>
      </c>
      <c r="D149" s="10">
        <v>4415.240234375</v>
      </c>
      <c r="E149" s="17">
        <f t="shared" si="4"/>
        <v>4.5041359530079123E-2</v>
      </c>
      <c r="F149" s="17">
        <f t="shared" si="5"/>
        <v>1.3055519455784752E-2</v>
      </c>
      <c r="G149" s="20"/>
      <c r="H149" s="20"/>
      <c r="J149" s="18"/>
      <c r="K149" s="18"/>
    </row>
    <row r="150" spans="2:11" x14ac:dyDescent="0.3">
      <c r="B150" s="9">
        <v>45243</v>
      </c>
      <c r="C150" s="10">
        <v>332.71585083007813</v>
      </c>
      <c r="D150" s="10">
        <v>4514.02001953125</v>
      </c>
      <c r="E150" s="17">
        <f t="shared" si="4"/>
        <v>1.9070975446431077E-2</v>
      </c>
      <c r="F150" s="17">
        <f t="shared" si="5"/>
        <v>2.2372459914456452E-2</v>
      </c>
      <c r="G150" s="20"/>
      <c r="H150" s="20"/>
      <c r="I150" s="16"/>
      <c r="J150" s="16"/>
      <c r="K150" s="16"/>
    </row>
    <row r="151" spans="2:11" x14ac:dyDescent="0.3">
      <c r="B151" s="9">
        <v>45250</v>
      </c>
      <c r="C151" s="10">
        <v>335.88372802734381</v>
      </c>
      <c r="D151" s="10">
        <v>4559.33984375</v>
      </c>
      <c r="E151" s="17">
        <f t="shared" si="4"/>
        <v>9.5212692432965988E-3</v>
      </c>
      <c r="F151" s="17">
        <f t="shared" si="5"/>
        <v>1.0039792473817196E-2</v>
      </c>
      <c r="G151" s="20"/>
      <c r="H151" s="20"/>
      <c r="I151" s="16"/>
      <c r="J151" s="16"/>
      <c r="K151" s="16"/>
    </row>
    <row r="152" spans="2:11" x14ac:dyDescent="0.3">
      <c r="B152" s="9">
        <v>45257</v>
      </c>
      <c r="C152" s="10">
        <v>322.56674194335938</v>
      </c>
      <c r="D152" s="10">
        <v>4594.6298828125</v>
      </c>
      <c r="E152" s="17">
        <f t="shared" si="4"/>
        <v>-3.9647607111530918E-2</v>
      </c>
      <c r="F152" s="17">
        <f t="shared" si="5"/>
        <v>7.7401642062010414E-3</v>
      </c>
      <c r="G152" s="20"/>
      <c r="H152" s="20"/>
      <c r="I152" s="16"/>
      <c r="J152" s="16"/>
      <c r="K152" s="16"/>
    </row>
    <row r="153" spans="2:11" x14ac:dyDescent="0.3">
      <c r="B153" s="9">
        <v>45264</v>
      </c>
      <c r="C153" s="10">
        <v>330.4417724609375</v>
      </c>
      <c r="D153" s="10">
        <v>4604.3701171875</v>
      </c>
      <c r="E153" s="17">
        <f t="shared" si="4"/>
        <v>2.4413646832074615E-2</v>
      </c>
      <c r="F153" s="17">
        <f t="shared" si="5"/>
        <v>2.119917082208531E-3</v>
      </c>
      <c r="G153" s="20"/>
      <c r="H153" s="20"/>
      <c r="I153" s="16"/>
      <c r="J153" s="16"/>
      <c r="K153" s="16"/>
    </row>
    <row r="154" spans="2:11" x14ac:dyDescent="0.3">
      <c r="B154" s="9">
        <v>45271</v>
      </c>
      <c r="C154" s="10">
        <v>332.59671020507813</v>
      </c>
      <c r="D154" s="10">
        <v>4719.18994140625</v>
      </c>
      <c r="E154" s="17">
        <f t="shared" si="4"/>
        <v>6.5213841703241878E-3</v>
      </c>
      <c r="F154" s="17">
        <f t="shared" si="5"/>
        <v>2.4937140433203425E-2</v>
      </c>
      <c r="G154" s="20"/>
      <c r="H154" s="20"/>
      <c r="I154" s="16"/>
      <c r="J154" s="16"/>
      <c r="K154" s="16"/>
    </row>
    <row r="155" spans="2:11" x14ac:dyDescent="0.3">
      <c r="B155" s="9">
        <v>45278</v>
      </c>
      <c r="C155" s="10">
        <v>350.93856811523438</v>
      </c>
      <c r="D155" s="10">
        <v>4754.6298828125</v>
      </c>
      <c r="E155" s="17">
        <f t="shared" si="4"/>
        <v>5.5147442375021435E-2</v>
      </c>
      <c r="F155" s="17">
        <f t="shared" si="5"/>
        <v>7.5097510052094685E-3</v>
      </c>
      <c r="G155" s="20"/>
      <c r="H155" s="20"/>
      <c r="I155" s="16"/>
      <c r="J155" s="16"/>
      <c r="K155" s="16"/>
    </row>
    <row r="156" spans="2:11" x14ac:dyDescent="0.3">
      <c r="B156" s="9">
        <v>45285</v>
      </c>
      <c r="C156" s="10">
        <v>351.50460815429688</v>
      </c>
      <c r="D156" s="10">
        <v>4769.830078125</v>
      </c>
      <c r="E156" s="17">
        <f t="shared" si="4"/>
        <v>1.6129319786722181E-3</v>
      </c>
      <c r="F156" s="17">
        <f t="shared" si="5"/>
        <v>3.1969250366778597E-3</v>
      </c>
      <c r="G156" s="20"/>
      <c r="H156" s="20"/>
      <c r="I156" s="16"/>
      <c r="J156" s="16"/>
      <c r="K156" s="16"/>
    </row>
    <row r="157" spans="2:11" x14ac:dyDescent="0.3">
      <c r="B157" s="9">
        <v>45292</v>
      </c>
      <c r="C157" s="10">
        <v>349.50863647460938</v>
      </c>
      <c r="D157" s="10">
        <v>4697.240234375</v>
      </c>
      <c r="E157" s="17">
        <f t="shared" si="4"/>
        <v>-5.6783656128096792E-3</v>
      </c>
      <c r="F157" s="17">
        <f t="shared" si="5"/>
        <v>-1.521853872382279E-2</v>
      </c>
      <c r="G157" s="20"/>
      <c r="H157" s="20"/>
      <c r="I157" s="16"/>
      <c r="J157" s="16"/>
      <c r="K157" s="16"/>
    </row>
    <row r="158" spans="2:11" x14ac:dyDescent="0.3">
      <c r="B158" s="9">
        <v>45299</v>
      </c>
      <c r="C158" s="10">
        <v>371.89218139648438</v>
      </c>
      <c r="D158" s="10">
        <v>4783.830078125</v>
      </c>
      <c r="E158" s="17">
        <f t="shared" si="4"/>
        <v>6.4042895041596742E-2</v>
      </c>
      <c r="F158" s="17">
        <f t="shared" si="5"/>
        <v>1.8434195278394436E-2</v>
      </c>
      <c r="G158" s="20"/>
      <c r="H158" s="20"/>
      <c r="I158" s="16"/>
      <c r="J158" s="16"/>
      <c r="K158" s="16"/>
    </row>
    <row r="159" spans="2:11" x14ac:dyDescent="0.3">
      <c r="B159" s="9">
        <v>45306</v>
      </c>
      <c r="C159" s="10">
        <v>380.79006958007813</v>
      </c>
      <c r="D159" s="10">
        <v>4839.81005859375</v>
      </c>
      <c r="E159" s="17">
        <f t="shared" si="4"/>
        <v>2.3925988844889078E-2</v>
      </c>
      <c r="F159" s="17">
        <f t="shared" si="5"/>
        <v>1.1701916571980562E-2</v>
      </c>
      <c r="G159" s="20"/>
      <c r="H159" s="20"/>
      <c r="I159" s="16"/>
      <c r="J159" s="16"/>
      <c r="K159" s="16"/>
    </row>
    <row r="160" spans="2:11" x14ac:dyDescent="0.3">
      <c r="B160" s="9">
        <v>45313</v>
      </c>
      <c r="C160" s="10">
        <v>391.40591430664063</v>
      </c>
      <c r="D160" s="10">
        <v>4890.97021484375</v>
      </c>
      <c r="E160" s="17">
        <f t="shared" si="4"/>
        <v>2.7878470513344217E-2</v>
      </c>
      <c r="F160" s="17">
        <f t="shared" si="5"/>
        <v>1.0570695054273481E-2</v>
      </c>
      <c r="G160" s="20"/>
      <c r="H160" s="20"/>
      <c r="I160" s="16"/>
      <c r="J160" s="16"/>
      <c r="K160" s="16"/>
    </row>
    <row r="161" spans="2:11" x14ac:dyDescent="0.3">
      <c r="B161" s="9">
        <v>45320</v>
      </c>
      <c r="C161" s="10">
        <v>471.69503784179688</v>
      </c>
      <c r="D161" s="10">
        <v>4958.60986328125</v>
      </c>
      <c r="E161" s="17">
        <f t="shared" si="4"/>
        <v>0.2051300723888782</v>
      </c>
      <c r="F161" s="17">
        <f t="shared" si="5"/>
        <v>1.3829495062598916E-2</v>
      </c>
      <c r="G161" s="20"/>
      <c r="H161" s="20"/>
      <c r="I161" s="16"/>
      <c r="J161" s="16"/>
      <c r="K161" s="16"/>
    </row>
    <row r="162" spans="2:11" x14ac:dyDescent="0.3">
      <c r="B162" s="9">
        <v>45327</v>
      </c>
      <c r="C162" s="10">
        <v>464.86282348632813</v>
      </c>
      <c r="D162" s="10">
        <v>5026.60986328125</v>
      </c>
      <c r="E162" s="17">
        <f t="shared" si="4"/>
        <v>-1.4484388868555843E-2</v>
      </c>
      <c r="F162" s="17">
        <f t="shared" si="5"/>
        <v>1.3713520900997546E-2</v>
      </c>
      <c r="G162" s="20"/>
      <c r="H162" s="20"/>
      <c r="I162" s="16"/>
      <c r="J162" s="16"/>
      <c r="K162" s="16"/>
    </row>
    <row r="163" spans="2:11" x14ac:dyDescent="0.3">
      <c r="B163" s="9">
        <v>45334</v>
      </c>
      <c r="C163" s="10">
        <v>470.03668212890619</v>
      </c>
      <c r="D163" s="10">
        <v>5005.56982421875</v>
      </c>
      <c r="E163" s="17">
        <f t="shared" si="4"/>
        <v>1.1129861071220366E-2</v>
      </c>
      <c r="F163" s="17">
        <f t="shared" si="5"/>
        <v>-4.1857314641016458E-3</v>
      </c>
      <c r="G163" s="20"/>
      <c r="H163" s="20"/>
      <c r="I163" s="16"/>
      <c r="J163" s="16"/>
      <c r="K163" s="16"/>
    </row>
    <row r="164" spans="2:11" x14ac:dyDescent="0.3">
      <c r="B164" s="9">
        <v>45341</v>
      </c>
      <c r="C164" s="10">
        <v>480.67239379882813</v>
      </c>
      <c r="D164" s="10">
        <v>5088.7998046875</v>
      </c>
      <c r="E164" s="17">
        <f t="shared" si="4"/>
        <v>2.2627407762624618E-2</v>
      </c>
      <c r="F164" s="17">
        <f t="shared" si="5"/>
        <v>1.6627473672638303E-2</v>
      </c>
      <c r="G164" s="20"/>
      <c r="H164" s="20"/>
      <c r="I164" s="16"/>
      <c r="J164" s="16"/>
      <c r="K164" s="16"/>
    </row>
    <row r="165" spans="2:11" x14ac:dyDescent="0.3">
      <c r="B165" s="9">
        <v>45348</v>
      </c>
      <c r="C165" s="10">
        <v>499.34487915039063</v>
      </c>
      <c r="D165" s="10">
        <v>5137.080078125</v>
      </c>
      <c r="E165" s="17">
        <f t="shared" si="4"/>
        <v>3.8846594047124205E-2</v>
      </c>
      <c r="F165" s="17">
        <f t="shared" si="5"/>
        <v>9.4875560624387463E-3</v>
      </c>
      <c r="G165" s="20"/>
      <c r="H165" s="20"/>
      <c r="I165" s="16"/>
      <c r="J165" s="16"/>
      <c r="K165" s="16"/>
    </row>
    <row r="166" spans="2:11" x14ac:dyDescent="0.3">
      <c r="B166" s="9">
        <v>45355</v>
      </c>
      <c r="C166" s="10">
        <v>502.973388671875</v>
      </c>
      <c r="D166" s="10">
        <v>5123.68994140625</v>
      </c>
      <c r="E166" s="17">
        <f t="shared" si="4"/>
        <v>7.2665399666420839E-3</v>
      </c>
      <c r="F166" s="17">
        <f t="shared" si="5"/>
        <v>-2.6065656978501513E-3</v>
      </c>
      <c r="G166" s="20"/>
      <c r="H166" s="20"/>
      <c r="I166" s="16"/>
      <c r="J166" s="16"/>
      <c r="K166" s="16"/>
    </row>
    <row r="167" spans="2:11" x14ac:dyDescent="0.3">
      <c r="B167" s="9">
        <v>45362</v>
      </c>
      <c r="C167" s="10">
        <v>481.25192260742188</v>
      </c>
      <c r="D167" s="10">
        <v>5117.08984375</v>
      </c>
      <c r="E167" s="17">
        <f t="shared" si="4"/>
        <v>-4.3186113925052144E-2</v>
      </c>
      <c r="F167" s="17">
        <f t="shared" si="5"/>
        <v>-1.2881532121825729E-3</v>
      </c>
      <c r="G167" s="20"/>
      <c r="H167" s="20"/>
      <c r="I167" s="16"/>
      <c r="J167" s="16"/>
      <c r="K167" s="16"/>
    </row>
    <row r="168" spans="2:11" x14ac:dyDescent="0.3">
      <c r="B168" s="9">
        <v>45369</v>
      </c>
      <c r="C168" s="10">
        <v>506.58200073242188</v>
      </c>
      <c r="D168" s="10">
        <v>5234.18017578125</v>
      </c>
      <c r="E168" s="17">
        <f t="shared" si="4"/>
        <v>5.2633718298228695E-2</v>
      </c>
      <c r="F168" s="17">
        <f t="shared" si="5"/>
        <v>2.2882211492585736E-2</v>
      </c>
      <c r="G168" s="20"/>
      <c r="H168" s="20"/>
      <c r="I168" s="16"/>
      <c r="J168" s="16"/>
      <c r="K168" s="16"/>
    </row>
    <row r="169" spans="2:11" x14ac:dyDescent="0.3">
      <c r="B169" s="9">
        <v>45376</v>
      </c>
      <c r="C169" s="10">
        <v>482.72323608398438</v>
      </c>
      <c r="D169" s="10">
        <v>5254.35009765625</v>
      </c>
      <c r="E169" s="17">
        <f t="shared" si="4"/>
        <v>-4.7097537247557615E-2</v>
      </c>
      <c r="F169" s="17">
        <f t="shared" si="5"/>
        <v>3.8535016368612973E-3</v>
      </c>
      <c r="G169" s="20"/>
      <c r="H169" s="20"/>
      <c r="I169" s="16"/>
      <c r="J169" s="16"/>
      <c r="K169" s="16"/>
    </row>
    <row r="170" spans="2:11" x14ac:dyDescent="0.3">
      <c r="B170" s="9">
        <v>45383</v>
      </c>
      <c r="C170" s="10">
        <v>524.23748779296875</v>
      </c>
      <c r="D170" s="10">
        <v>5204.33984375</v>
      </c>
      <c r="E170" s="17">
        <f t="shared" si="4"/>
        <v>8.6000110634329829E-2</v>
      </c>
      <c r="F170" s="17">
        <f t="shared" si="5"/>
        <v>-9.517876231459629E-3</v>
      </c>
      <c r="G170" s="20"/>
      <c r="H170" s="20"/>
      <c r="I170" s="16"/>
      <c r="J170" s="16"/>
      <c r="K170" s="16"/>
    </row>
    <row r="171" spans="2:11" x14ac:dyDescent="0.3">
      <c r="B171" s="9">
        <v>45390</v>
      </c>
      <c r="C171" s="10">
        <v>508.88836669921881</v>
      </c>
      <c r="D171" s="10">
        <v>5123.41015625</v>
      </c>
      <c r="E171" s="17">
        <f t="shared" si="4"/>
        <v>-2.9278945995200558E-2</v>
      </c>
      <c r="F171" s="17">
        <f t="shared" si="5"/>
        <v>-1.5550423287055349E-2</v>
      </c>
      <c r="G171" s="20"/>
      <c r="H171" s="20"/>
      <c r="I171" s="16"/>
      <c r="J171" s="16"/>
      <c r="K171" s="16"/>
    </row>
    <row r="172" spans="2:11" x14ac:dyDescent="0.3">
      <c r="B172" s="9">
        <v>45397</v>
      </c>
      <c r="C172" s="10">
        <v>478.23977661132813</v>
      </c>
      <c r="D172" s="10">
        <v>4967.22998046875</v>
      </c>
      <c r="E172" s="17">
        <f t="shared" si="4"/>
        <v>-6.02265488729588E-2</v>
      </c>
      <c r="F172" s="17">
        <f t="shared" si="5"/>
        <v>-3.0483637073390905E-2</v>
      </c>
      <c r="G172" s="20"/>
      <c r="H172" s="20"/>
      <c r="I172" s="16"/>
      <c r="J172" s="16"/>
      <c r="K172" s="16"/>
    </row>
    <row r="173" spans="2:11" x14ac:dyDescent="0.3">
      <c r="B173" s="9">
        <v>45404</v>
      </c>
      <c r="C173" s="10">
        <v>440.68206787109381</v>
      </c>
      <c r="D173" s="10">
        <v>5099.9599609375</v>
      </c>
      <c r="E173" s="17">
        <f t="shared" si="4"/>
        <v>-7.8533218224459758E-2</v>
      </c>
      <c r="F173" s="17">
        <f t="shared" si="5"/>
        <v>2.6721126460954495E-2</v>
      </c>
      <c r="G173" s="20"/>
      <c r="H173" s="20"/>
      <c r="I173" s="16"/>
      <c r="J173" s="16"/>
      <c r="K173" s="16"/>
    </row>
    <row r="174" spans="2:11" x14ac:dyDescent="0.3">
      <c r="B174" s="9">
        <v>45411</v>
      </c>
      <c r="C174" s="10">
        <v>449.301025390625</v>
      </c>
      <c r="D174" s="10">
        <v>5127.7900390625</v>
      </c>
      <c r="E174" s="17">
        <f t="shared" si="4"/>
        <v>1.9558221556799014E-2</v>
      </c>
      <c r="F174" s="17">
        <f t="shared" si="5"/>
        <v>5.4569209049014061E-3</v>
      </c>
      <c r="G174" s="20"/>
      <c r="H174" s="20"/>
      <c r="I174" s="16"/>
      <c r="J174" s="16"/>
      <c r="K174" s="16"/>
    </row>
    <row r="175" spans="2:11" x14ac:dyDescent="0.3">
      <c r="B175" s="9">
        <v>45418</v>
      </c>
      <c r="C175" s="10">
        <v>473.39840698242188</v>
      </c>
      <c r="D175" s="10">
        <v>5222.68017578125</v>
      </c>
      <c r="E175" s="17">
        <f t="shared" si="4"/>
        <v>5.3633043839253353E-2</v>
      </c>
      <c r="F175" s="17">
        <f t="shared" si="5"/>
        <v>1.8505074504980807E-2</v>
      </c>
      <c r="G175" s="20"/>
      <c r="H175" s="20"/>
      <c r="I175" s="16"/>
      <c r="J175" s="16"/>
      <c r="K175" s="16"/>
    </row>
    <row r="176" spans="2:11" x14ac:dyDescent="0.3">
      <c r="B176" s="9">
        <v>45425</v>
      </c>
      <c r="C176" s="10">
        <v>469.1336669921875</v>
      </c>
      <c r="D176" s="10">
        <v>5303.27001953125</v>
      </c>
      <c r="E176" s="17">
        <f t="shared" si="4"/>
        <v>-9.00877554155507E-3</v>
      </c>
      <c r="F176" s="17">
        <f t="shared" si="5"/>
        <v>1.5430744567456637E-2</v>
      </c>
      <c r="G176" s="20"/>
      <c r="H176" s="20"/>
      <c r="I176" s="16"/>
      <c r="J176" s="16"/>
      <c r="K176" s="16"/>
    </row>
    <row r="177" spans="2:8" x14ac:dyDescent="0.3">
      <c r="B177" s="9">
        <v>45432</v>
      </c>
      <c r="C177" s="10">
        <v>475.40655517578119</v>
      </c>
      <c r="D177" s="10">
        <v>5304.72021484375</v>
      </c>
      <c r="E177" s="17">
        <f t="shared" si="4"/>
        <v>1.337121725629245E-2</v>
      </c>
      <c r="F177" s="17">
        <f t="shared" si="5"/>
        <v>2.7345304070113728E-4</v>
      </c>
      <c r="G177" s="20"/>
      <c r="H177" s="20"/>
    </row>
    <row r="178" spans="2:8" x14ac:dyDescent="0.3">
      <c r="B178" s="9">
        <v>45439</v>
      </c>
      <c r="C178" s="10">
        <v>464.08352661132813</v>
      </c>
      <c r="D178" s="10">
        <v>5277.509765625</v>
      </c>
      <c r="E178" s="17">
        <f t="shared" si="4"/>
        <v>-2.3817569280815631E-2</v>
      </c>
      <c r="F178" s="17">
        <f t="shared" si="5"/>
        <v>-5.1294786749750349E-3</v>
      </c>
      <c r="G178" s="20"/>
      <c r="H178" s="20"/>
    </row>
    <row r="179" spans="2:8" x14ac:dyDescent="0.3">
      <c r="B179" s="9">
        <v>45446</v>
      </c>
      <c r="C179" s="10">
        <v>490.05978393554688</v>
      </c>
      <c r="D179" s="10">
        <v>5346.990234375</v>
      </c>
      <c r="E179" s="17">
        <f t="shared" si="4"/>
        <v>5.5973237218510392E-2</v>
      </c>
      <c r="F179" s="17">
        <f t="shared" si="5"/>
        <v>1.3165388949644441E-2</v>
      </c>
      <c r="G179" s="20"/>
      <c r="H179" s="20"/>
    </row>
    <row r="180" spans="2:8" x14ac:dyDescent="0.3">
      <c r="B180" s="9">
        <v>45453</v>
      </c>
      <c r="C180" s="10">
        <v>501.19390869140619</v>
      </c>
      <c r="D180" s="10">
        <v>5431.60009765625</v>
      </c>
      <c r="E180" s="17">
        <f t="shared" si="4"/>
        <v>2.2719931569254597E-2</v>
      </c>
      <c r="F180" s="17">
        <f t="shared" si="5"/>
        <v>1.5823829775731747E-2</v>
      </c>
      <c r="G180" s="20"/>
      <c r="H180" s="20"/>
    </row>
    <row r="181" spans="2:8" x14ac:dyDescent="0.3">
      <c r="B181" s="9">
        <v>45460</v>
      </c>
      <c r="C181" s="10">
        <v>492.35748291015619</v>
      </c>
      <c r="D181" s="10">
        <v>5464.6201171875</v>
      </c>
      <c r="E181" s="17">
        <f t="shared" si="4"/>
        <v>-1.7630752545100745E-2</v>
      </c>
      <c r="F181" s="17">
        <f t="shared" si="5"/>
        <v>6.0792434895010454E-3</v>
      </c>
      <c r="G181" s="20"/>
      <c r="H181" s="20"/>
    </row>
    <row r="182" spans="2:8" x14ac:dyDescent="0.3">
      <c r="B182" s="9">
        <v>45467</v>
      </c>
      <c r="C182" s="10">
        <v>501.75128173828119</v>
      </c>
      <c r="D182" s="10">
        <v>5460.47998046875</v>
      </c>
      <c r="E182" s="17">
        <f t="shared" si="4"/>
        <v>1.9079224251049211E-2</v>
      </c>
      <c r="F182" s="17">
        <f t="shared" si="5"/>
        <v>-7.57625714133048E-4</v>
      </c>
      <c r="G182" s="20"/>
      <c r="H182" s="20"/>
    </row>
    <row r="183" spans="2:8" x14ac:dyDescent="0.3">
      <c r="B183" s="9">
        <v>45474</v>
      </c>
      <c r="C183" s="10">
        <v>537.26641845703125</v>
      </c>
      <c r="D183" s="10">
        <v>5567.18994140625</v>
      </c>
      <c r="E183" s="17">
        <f t="shared" si="4"/>
        <v>7.078235375046861E-2</v>
      </c>
      <c r="F183" s="17">
        <f t="shared" si="5"/>
        <v>1.9542230961231283E-2</v>
      </c>
      <c r="G183" s="20"/>
      <c r="H183" s="20"/>
    </row>
    <row r="184" spans="2:8" x14ac:dyDescent="0.3">
      <c r="B184" s="9">
        <v>45481</v>
      </c>
      <c r="C184" s="10">
        <v>496.42745971679688</v>
      </c>
      <c r="D184" s="10">
        <v>5615.35009765625</v>
      </c>
      <c r="E184" s="17">
        <f t="shared" si="4"/>
        <v>-7.6012490893287682E-2</v>
      </c>
      <c r="F184" s="17">
        <f t="shared" si="5"/>
        <v>8.6507118953866591E-3</v>
      </c>
      <c r="G184" s="20"/>
      <c r="H184" s="20"/>
    </row>
    <row r="185" spans="2:8" x14ac:dyDescent="0.3">
      <c r="B185" s="9">
        <v>45488</v>
      </c>
      <c r="C185" s="10">
        <v>474.45553588867188</v>
      </c>
      <c r="D185" s="10">
        <v>5505</v>
      </c>
      <c r="E185" s="17">
        <f t="shared" si="4"/>
        <v>-4.4260089562047182E-2</v>
      </c>
      <c r="F185" s="17">
        <f t="shared" si="5"/>
        <v>-1.965150805152972E-2</v>
      </c>
      <c r="G185" s="20"/>
      <c r="H185" s="20"/>
    </row>
    <row r="186" spans="2:8" x14ac:dyDescent="0.3">
      <c r="B186" s="9">
        <v>45495</v>
      </c>
      <c r="C186" s="10">
        <v>463.41986083984381</v>
      </c>
      <c r="D186" s="10">
        <v>5459.10009765625</v>
      </c>
      <c r="E186" s="17">
        <f t="shared" si="4"/>
        <v>-2.3259661262372798E-2</v>
      </c>
      <c r="F186" s="17">
        <f t="shared" si="5"/>
        <v>-8.3378569198455949E-3</v>
      </c>
      <c r="G186" s="20"/>
      <c r="H186" s="20"/>
    </row>
    <row r="187" spans="2:8" x14ac:dyDescent="0.3">
      <c r="B187" s="9">
        <v>45502</v>
      </c>
      <c r="C187" s="10">
        <v>485.74996948242188</v>
      </c>
      <c r="D187" s="10">
        <v>5346.56005859375</v>
      </c>
      <c r="E187" s="17">
        <f t="shared" si="4"/>
        <v>4.8185480445550585E-2</v>
      </c>
      <c r="F187" s="17">
        <f t="shared" si="5"/>
        <v>-2.0615126495082348E-2</v>
      </c>
      <c r="G187" s="20"/>
      <c r="H187" s="20"/>
    </row>
    <row r="188" spans="2:8" x14ac:dyDescent="0.3">
      <c r="B188" s="9">
        <v>45509</v>
      </c>
      <c r="C188" s="10">
        <v>515.23492431640625</v>
      </c>
      <c r="D188" s="10">
        <v>5344.16015625</v>
      </c>
      <c r="E188" s="17">
        <f t="shared" si="4"/>
        <v>6.0699859364687754E-2</v>
      </c>
      <c r="F188" s="17">
        <f t="shared" si="5"/>
        <v>-4.488684906648596E-4</v>
      </c>
      <c r="G188" s="20"/>
      <c r="H188" s="20"/>
    </row>
    <row r="189" spans="2:8" x14ac:dyDescent="0.3">
      <c r="B189" s="9">
        <v>45516</v>
      </c>
      <c r="C189" s="10">
        <v>524.83770751953125</v>
      </c>
      <c r="D189" s="10">
        <v>5554.25</v>
      </c>
      <c r="E189" s="17">
        <f t="shared" si="4"/>
        <v>1.8637679143869372E-2</v>
      </c>
      <c r="F189" s="17">
        <f t="shared" si="5"/>
        <v>3.9312041107955893E-2</v>
      </c>
      <c r="G189" s="20"/>
      <c r="H189" s="20"/>
    </row>
    <row r="190" spans="2:8" x14ac:dyDescent="0.3">
      <c r="B190" s="9">
        <v>45523</v>
      </c>
      <c r="C190" s="10">
        <v>525.41473388671875</v>
      </c>
      <c r="D190" s="10">
        <v>5634.60986328125</v>
      </c>
      <c r="E190" s="17">
        <f t="shared" si="4"/>
        <v>1.0994377098296174E-3</v>
      </c>
      <c r="F190" s="17">
        <f t="shared" si="5"/>
        <v>1.4468175411846784E-2</v>
      </c>
      <c r="G190" s="20"/>
      <c r="H190" s="20"/>
    </row>
    <row r="191" spans="2:8" x14ac:dyDescent="0.3">
      <c r="B191" s="9">
        <v>45530</v>
      </c>
      <c r="C191" s="10">
        <v>518.757568359375</v>
      </c>
      <c r="D191" s="10">
        <v>5648.39990234375</v>
      </c>
      <c r="E191" s="17">
        <f t="shared" si="4"/>
        <v>-1.2670306137206761E-2</v>
      </c>
      <c r="F191" s="17">
        <f t="shared" si="5"/>
        <v>2.4473813444236456E-3</v>
      </c>
      <c r="G191" s="20"/>
      <c r="H191" s="20"/>
    </row>
    <row r="192" spans="2:8" x14ac:dyDescent="0.3">
      <c r="B192" s="9">
        <v>45537</v>
      </c>
      <c r="C192" s="10">
        <v>497.82058715820313</v>
      </c>
      <c r="D192" s="10">
        <v>5408.419921875</v>
      </c>
      <c r="E192" s="17">
        <f t="shared" si="4"/>
        <v>-4.0359856854498076E-2</v>
      </c>
      <c r="F192" s="17">
        <f t="shared" si="5"/>
        <v>-4.2486365097692991E-2</v>
      </c>
      <c r="G192" s="20"/>
      <c r="H192" s="20"/>
    </row>
    <row r="193" spans="2:8" x14ac:dyDescent="0.3">
      <c r="B193" s="9">
        <v>45544</v>
      </c>
      <c r="C193" s="10">
        <v>522.0513916015625</v>
      </c>
      <c r="D193" s="10">
        <v>5626.02001953125</v>
      </c>
      <c r="E193" s="17">
        <f t="shared" si="4"/>
        <v>4.8673769362734355E-2</v>
      </c>
      <c r="F193" s="17">
        <f t="shared" si="5"/>
        <v>4.0233580380129218E-2</v>
      </c>
      <c r="G193" s="20"/>
      <c r="H193" s="20"/>
    </row>
    <row r="194" spans="2:8" x14ac:dyDescent="0.3">
      <c r="B194" s="9">
        <v>45551</v>
      </c>
      <c r="C194" s="10">
        <v>558.60150146484375</v>
      </c>
      <c r="D194" s="10">
        <v>5702.5498046875</v>
      </c>
      <c r="E194" s="17">
        <f t="shared" si="4"/>
        <v>7.0012474731945246E-2</v>
      </c>
      <c r="F194" s="17">
        <f t="shared" si="5"/>
        <v>1.3602828445432074E-2</v>
      </c>
      <c r="G194" s="20"/>
      <c r="H194" s="20"/>
    </row>
    <row r="195" spans="2:8" x14ac:dyDescent="0.3">
      <c r="B195" s="9">
        <v>45558</v>
      </c>
      <c r="C195" s="10">
        <v>565.1207275390625</v>
      </c>
      <c r="D195" s="10">
        <v>5738.169921875</v>
      </c>
      <c r="E195" s="17">
        <f t="shared" si="4"/>
        <v>1.1670620392396216E-2</v>
      </c>
      <c r="F195" s="17">
        <f t="shared" si="5"/>
        <v>6.2463491608999609E-3</v>
      </c>
      <c r="G195" s="20"/>
      <c r="H195" s="20"/>
    </row>
    <row r="196" spans="2:8" x14ac:dyDescent="0.3">
      <c r="B196" s="9">
        <v>45565</v>
      </c>
      <c r="C196" s="10">
        <v>593.587890625</v>
      </c>
      <c r="D196" s="10">
        <v>5751.06982421875</v>
      </c>
      <c r="E196" s="17">
        <f t="shared" si="4"/>
        <v>5.0373595762278567E-2</v>
      </c>
      <c r="F196" s="17">
        <f t="shared" si="5"/>
        <v>2.2480865013378409E-3</v>
      </c>
      <c r="G196" s="20"/>
      <c r="H196" s="20"/>
    </row>
    <row r="197" spans="2:8" x14ac:dyDescent="0.3">
      <c r="B197" s="9">
        <v>45572</v>
      </c>
      <c r="C197" s="10">
        <v>587.62158203125</v>
      </c>
      <c r="D197" s="10">
        <v>5815.02978515625</v>
      </c>
      <c r="E197" s="17">
        <f t="shared" si="4"/>
        <v>-1.0051263996420074E-2</v>
      </c>
      <c r="F197" s="17">
        <f t="shared" si="5"/>
        <v>1.1121402259481104E-2</v>
      </c>
      <c r="G197" s="20"/>
      <c r="H197" s="20"/>
    </row>
    <row r="198" spans="2:8" x14ac:dyDescent="0.3">
      <c r="B198" s="9">
        <v>45579</v>
      </c>
      <c r="C198" s="10">
        <v>574.1947021484375</v>
      </c>
      <c r="D198" s="10">
        <v>5864.669921875</v>
      </c>
      <c r="E198" s="17">
        <f t="shared" si="4"/>
        <v>-2.2849534961597875E-2</v>
      </c>
      <c r="F198" s="17">
        <f t="shared" si="5"/>
        <v>8.5365232084389352E-3</v>
      </c>
      <c r="G198" s="20"/>
      <c r="H198" s="20"/>
    </row>
    <row r="199" spans="2:8" x14ac:dyDescent="0.3">
      <c r="B199" s="9">
        <v>45586</v>
      </c>
      <c r="C199" s="10">
        <v>570.9874267578125</v>
      </c>
      <c r="D199" s="10">
        <v>5808.1201171875</v>
      </c>
      <c r="E199" s="17">
        <f t="shared" si="4"/>
        <v>-5.5856931083210753E-3</v>
      </c>
      <c r="F199" s="17">
        <f t="shared" si="5"/>
        <v>-9.6424531032123974E-3</v>
      </c>
      <c r="G199" s="20"/>
      <c r="H199" s="20"/>
    </row>
    <row r="200" spans="2:8" x14ac:dyDescent="0.3">
      <c r="B200" s="9">
        <v>45593</v>
      </c>
      <c r="C200" s="10">
        <v>564.92144775390625</v>
      </c>
      <c r="D200" s="10">
        <v>5728.7998046875</v>
      </c>
      <c r="E200" s="17">
        <f t="shared" si="4"/>
        <v>-1.0623664759748149E-2</v>
      </c>
      <c r="F200" s="17">
        <f t="shared" si="5"/>
        <v>-1.3656796157723016E-2</v>
      </c>
      <c r="G200" s="20"/>
      <c r="H200" s="20"/>
    </row>
    <row r="201" spans="2:8" x14ac:dyDescent="0.3">
      <c r="B201" s="9">
        <v>45600</v>
      </c>
      <c r="C201" s="10">
        <v>587.013916015625</v>
      </c>
      <c r="D201" s="10">
        <v>5995.5400390625</v>
      </c>
      <c r="E201" s="17">
        <f t="shared" si="4"/>
        <v>3.9107150825229024E-2</v>
      </c>
      <c r="F201" s="17">
        <f t="shared" si="5"/>
        <v>4.6561276963587382E-2</v>
      </c>
      <c r="G201" s="20"/>
      <c r="H201" s="20"/>
    </row>
    <row r="202" spans="2:8" x14ac:dyDescent="0.3">
      <c r="B202" s="9">
        <v>45607</v>
      </c>
      <c r="C202" s="10">
        <v>551.89312744140625</v>
      </c>
      <c r="D202" s="10">
        <v>5870.6201171875</v>
      </c>
      <c r="E202" s="17">
        <f t="shared" ref="E202:E265" si="6">(C202-C201)/C201</f>
        <v>-5.9829567265802117E-2</v>
      </c>
      <c r="F202" s="17">
        <f t="shared" ref="F202:F265" si="7">(D202-D201)/D201</f>
        <v>-2.0835474546265102E-2</v>
      </c>
      <c r="G202" s="20"/>
      <c r="H202" s="20"/>
    </row>
    <row r="203" spans="2:8" x14ac:dyDescent="0.3">
      <c r="B203" s="9">
        <v>45614</v>
      </c>
      <c r="C203" s="10">
        <v>556.93316650390625</v>
      </c>
      <c r="D203" s="10">
        <v>5969.33984375</v>
      </c>
      <c r="E203" s="17">
        <f t="shared" si="6"/>
        <v>9.1322736448373222E-3</v>
      </c>
      <c r="F203" s="17">
        <f t="shared" si="7"/>
        <v>1.6815894163118614E-2</v>
      </c>
      <c r="G203" s="20"/>
      <c r="H203" s="20"/>
    </row>
    <row r="204" spans="2:8" x14ac:dyDescent="0.3">
      <c r="B204" s="9">
        <v>45621</v>
      </c>
      <c r="C204" s="10">
        <v>572.05322265625</v>
      </c>
      <c r="D204" s="10">
        <v>6032.3798828125</v>
      </c>
      <c r="E204" s="17">
        <f t="shared" si="6"/>
        <v>2.7148780251782152E-2</v>
      </c>
      <c r="F204" s="17">
        <f t="shared" si="7"/>
        <v>1.0560638313883902E-2</v>
      </c>
      <c r="G204" s="20"/>
      <c r="H204" s="20"/>
    </row>
    <row r="205" spans="2:8" x14ac:dyDescent="0.3">
      <c r="B205" s="9">
        <v>45628</v>
      </c>
      <c r="C205" s="10">
        <v>621.30816650390625</v>
      </c>
      <c r="D205" s="10">
        <v>6090.27001953125</v>
      </c>
      <c r="E205" s="17">
        <f t="shared" si="6"/>
        <v>8.6102030190386369E-2</v>
      </c>
      <c r="F205" s="17">
        <f t="shared" si="7"/>
        <v>9.5965668348724185E-3</v>
      </c>
      <c r="G205" s="20"/>
      <c r="H205" s="20"/>
    </row>
    <row r="206" spans="2:8" x14ac:dyDescent="0.3">
      <c r="B206" s="9">
        <v>45635</v>
      </c>
      <c r="C206" s="10">
        <v>617.90155029296875</v>
      </c>
      <c r="D206" s="10">
        <v>6051.08984375</v>
      </c>
      <c r="E206" s="17">
        <f t="shared" si="6"/>
        <v>-5.48297349784808E-3</v>
      </c>
      <c r="F206" s="17">
        <f t="shared" si="7"/>
        <v>-6.4332411626415184E-3</v>
      </c>
      <c r="G206" s="20"/>
      <c r="H206" s="20"/>
    </row>
    <row r="207" spans="2:8" x14ac:dyDescent="0.3">
      <c r="B207" s="9">
        <v>45642</v>
      </c>
      <c r="C207" s="10">
        <v>582.94012451171875</v>
      </c>
      <c r="D207" s="10">
        <v>5930.85009765625</v>
      </c>
      <c r="E207" s="17">
        <f t="shared" si="6"/>
        <v>-5.6580899926005304E-2</v>
      </c>
      <c r="F207" s="17">
        <f t="shared" si="7"/>
        <v>-1.9870758689518094E-2</v>
      </c>
      <c r="G207" s="20"/>
      <c r="H207" s="20"/>
    </row>
    <row r="208" spans="2:8" x14ac:dyDescent="0.3">
      <c r="B208" s="9">
        <v>45649</v>
      </c>
      <c r="C208" s="10">
        <v>597.924560546875</v>
      </c>
      <c r="D208" s="10">
        <v>5970.83984375</v>
      </c>
      <c r="E208" s="17">
        <f t="shared" si="6"/>
        <v>2.5704931613186665E-2</v>
      </c>
      <c r="F208" s="17">
        <f t="shared" si="7"/>
        <v>6.7426668075042271E-3</v>
      </c>
      <c r="G208" s="20"/>
      <c r="H208" s="20"/>
    </row>
    <row r="209" spans="2:8" x14ac:dyDescent="0.3">
      <c r="B209" s="9">
        <v>45656</v>
      </c>
      <c r="C209" s="10">
        <v>602.7293701171875</v>
      </c>
      <c r="D209" s="10">
        <v>5942.47021484375</v>
      </c>
      <c r="E209" s="17">
        <f t="shared" si="6"/>
        <v>8.0358123538493142E-3</v>
      </c>
      <c r="F209" s="17">
        <f t="shared" si="7"/>
        <v>-4.7513632334228529E-3</v>
      </c>
      <c r="G209" s="20"/>
      <c r="H209" s="20"/>
    </row>
    <row r="210" spans="2:8" x14ac:dyDescent="0.3">
      <c r="B210" s="9">
        <v>45663</v>
      </c>
      <c r="C210" s="10">
        <v>613.924072265625</v>
      </c>
      <c r="D210" s="10">
        <v>5827.0400390625</v>
      </c>
      <c r="E210" s="17">
        <f t="shared" si="6"/>
        <v>1.8573347680503664E-2</v>
      </c>
      <c r="F210" s="17">
        <f t="shared" si="7"/>
        <v>-1.9424611585417109E-2</v>
      </c>
      <c r="G210" s="20"/>
      <c r="H210" s="20"/>
    </row>
    <row r="211" spans="2:8" x14ac:dyDescent="0.3">
      <c r="B211" s="9">
        <v>45670</v>
      </c>
      <c r="C211" s="10">
        <v>610.84381103515625</v>
      </c>
      <c r="D211" s="10">
        <v>5996.66015625</v>
      </c>
      <c r="E211" s="17">
        <f t="shared" si="6"/>
        <v>-5.0173325491234709E-3</v>
      </c>
      <c r="F211" s="17">
        <f t="shared" si="7"/>
        <v>2.9109138782370512E-2</v>
      </c>
      <c r="G211" s="20"/>
      <c r="H211" s="20"/>
    </row>
    <row r="212" spans="2:8" x14ac:dyDescent="0.3">
      <c r="B212" s="9">
        <v>45677</v>
      </c>
      <c r="C212" s="10">
        <v>645.45465087890625</v>
      </c>
      <c r="D212" s="10">
        <v>6101.240234375</v>
      </c>
      <c r="E212" s="17">
        <f t="shared" si="6"/>
        <v>5.6660703142915242E-2</v>
      </c>
      <c r="F212" s="17">
        <f t="shared" si="7"/>
        <v>1.7439720677851277E-2</v>
      </c>
      <c r="G212" s="20"/>
      <c r="H212" s="20"/>
    </row>
    <row r="213" spans="2:8" x14ac:dyDescent="0.3">
      <c r="B213" s="9">
        <v>45684</v>
      </c>
      <c r="C213" s="10">
        <v>687.01361083984375</v>
      </c>
      <c r="D213" s="10">
        <v>6040.52978515625</v>
      </c>
      <c r="E213" s="17">
        <f t="shared" si="6"/>
        <v>6.4387110549668003E-2</v>
      </c>
      <c r="F213" s="17">
        <f t="shared" si="7"/>
        <v>-9.9505095499602247E-3</v>
      </c>
      <c r="G213" s="20"/>
      <c r="H213" s="20"/>
    </row>
    <row r="214" spans="2:8" x14ac:dyDescent="0.3">
      <c r="B214" s="9">
        <v>45691</v>
      </c>
      <c r="C214" s="10">
        <v>712.27398681640625</v>
      </c>
      <c r="D214" s="10">
        <v>6025.990234375</v>
      </c>
      <c r="E214" s="17">
        <f t="shared" si="6"/>
        <v>3.6768377770103867E-2</v>
      </c>
      <c r="F214" s="17">
        <f t="shared" si="7"/>
        <v>-2.4069992696632166E-3</v>
      </c>
      <c r="G214" s="20"/>
      <c r="H214" s="20"/>
    </row>
    <row r="215" spans="2:8" x14ac:dyDescent="0.3">
      <c r="B215" s="9">
        <v>45698</v>
      </c>
      <c r="C215" s="10">
        <v>734.35430908203125</v>
      </c>
      <c r="D215" s="10">
        <v>6114.6298828125</v>
      </c>
      <c r="E215" s="17">
        <f t="shared" si="6"/>
        <v>3.0999759466600264E-2</v>
      </c>
      <c r="F215" s="17">
        <f t="shared" si="7"/>
        <v>1.4709557266100261E-2</v>
      </c>
      <c r="G215" s="20"/>
      <c r="H215" s="20"/>
    </row>
    <row r="216" spans="2:8" x14ac:dyDescent="0.3">
      <c r="B216" s="9">
        <v>45705</v>
      </c>
      <c r="C216" s="10">
        <v>681.4013671875</v>
      </c>
      <c r="D216" s="10">
        <v>6013.1298828125</v>
      </c>
      <c r="E216" s="17">
        <f t="shared" si="6"/>
        <v>-7.2108165281584979E-2</v>
      </c>
      <c r="F216" s="17">
        <f t="shared" si="7"/>
        <v>-1.6599532914543934E-2</v>
      </c>
      <c r="G216" s="20"/>
      <c r="H216" s="20"/>
    </row>
    <row r="217" spans="2:8" x14ac:dyDescent="0.3">
      <c r="B217" s="9">
        <v>45712</v>
      </c>
      <c r="C217" s="10">
        <v>666.099609375</v>
      </c>
      <c r="D217" s="10">
        <v>5954.5</v>
      </c>
      <c r="E217" s="17">
        <f t="shared" si="6"/>
        <v>-2.2456306296622739E-2</v>
      </c>
      <c r="F217" s="17">
        <f t="shared" si="7"/>
        <v>-9.7503103966011875E-3</v>
      </c>
      <c r="G217" s="20"/>
      <c r="H217" s="20"/>
    </row>
    <row r="218" spans="2:8" x14ac:dyDescent="0.3">
      <c r="B218" s="9">
        <v>45719</v>
      </c>
      <c r="C218" s="10">
        <v>623.6932373046875</v>
      </c>
      <c r="D218" s="10">
        <v>5770.2001953125</v>
      </c>
      <c r="E218" s="17">
        <f t="shared" si="6"/>
        <v>-6.3663709561550888E-2</v>
      </c>
      <c r="F218" s="17">
        <f t="shared" si="7"/>
        <v>-3.0951348507431354E-2</v>
      </c>
      <c r="G218" s="20"/>
      <c r="H218" s="20"/>
    </row>
    <row r="219" spans="2:8" x14ac:dyDescent="0.3">
      <c r="B219" s="9">
        <v>45726</v>
      </c>
      <c r="C219" s="10">
        <v>605.69000244140625</v>
      </c>
      <c r="D219" s="10">
        <v>5638.93994140625</v>
      </c>
      <c r="E219" s="17">
        <f t="shared" si="6"/>
        <v>-2.8865528414389854E-2</v>
      </c>
      <c r="F219" s="17">
        <f t="shared" si="7"/>
        <v>-2.2747954917210853E-2</v>
      </c>
      <c r="G219" s="20"/>
      <c r="H219" s="20"/>
    </row>
    <row r="220" spans="2:8" x14ac:dyDescent="0.3">
      <c r="B220" s="9">
        <v>45733</v>
      </c>
      <c r="C220" s="10">
        <v>594.90447998046875</v>
      </c>
      <c r="D220" s="10">
        <v>5667.56005859375</v>
      </c>
      <c r="E220" s="17">
        <f t="shared" si="6"/>
        <v>-1.7807000969907671E-2</v>
      </c>
      <c r="F220" s="17">
        <f t="shared" si="7"/>
        <v>5.07544281104059E-3</v>
      </c>
      <c r="G220" s="20"/>
      <c r="H220" s="20"/>
    </row>
    <row r="221" spans="2:8" x14ac:dyDescent="0.3">
      <c r="B221" s="9">
        <v>45740</v>
      </c>
      <c r="C221" s="10">
        <v>575.4385986328125</v>
      </c>
      <c r="D221" s="10">
        <v>5580.93994140625</v>
      </c>
      <c r="E221" s="17">
        <f t="shared" si="6"/>
        <v>-3.2721019932973661E-2</v>
      </c>
      <c r="F221" s="17">
        <f t="shared" si="7"/>
        <v>-1.5283493477260551E-2</v>
      </c>
      <c r="G221" s="20"/>
      <c r="H221" s="20"/>
    </row>
    <row r="222" spans="2:8" x14ac:dyDescent="0.3">
      <c r="B222" s="9">
        <v>45747</v>
      </c>
      <c r="C222" s="10">
        <v>503.591064453125</v>
      </c>
      <c r="D222" s="10">
        <v>5074.080078125</v>
      </c>
      <c r="E222" s="17">
        <f t="shared" si="6"/>
        <v>-0.12485699490856265</v>
      </c>
      <c r="F222" s="17">
        <f t="shared" si="7"/>
        <v>-9.0819802506875685E-2</v>
      </c>
      <c r="G222" s="20"/>
      <c r="H222" s="20"/>
    </row>
    <row r="223" spans="2:8" x14ac:dyDescent="0.3">
      <c r="B223" s="9">
        <v>45754</v>
      </c>
      <c r="C223" s="10">
        <v>542.3433837890625</v>
      </c>
      <c r="D223" s="10">
        <v>5363.35986328125</v>
      </c>
      <c r="E223" s="17">
        <f t="shared" si="6"/>
        <v>7.6951959777166817E-2</v>
      </c>
      <c r="F223" s="17">
        <f t="shared" si="7"/>
        <v>5.701127705953473E-2</v>
      </c>
      <c r="G223" s="20"/>
      <c r="H223" s="20"/>
    </row>
    <row r="224" spans="2:8" x14ac:dyDescent="0.3">
      <c r="B224" s="9">
        <v>45761</v>
      </c>
      <c r="C224" s="10">
        <v>500.348388671875</v>
      </c>
      <c r="D224" s="10">
        <v>5282.7001953125</v>
      </c>
      <c r="E224" s="17">
        <f t="shared" si="6"/>
        <v>-7.7432483501118754E-2</v>
      </c>
      <c r="F224" s="17">
        <f t="shared" si="7"/>
        <v>-1.503901845575643E-2</v>
      </c>
      <c r="G224" s="20"/>
      <c r="H224" s="20"/>
    </row>
    <row r="225" spans="2:8" x14ac:dyDescent="0.3">
      <c r="B225" s="9">
        <v>45768</v>
      </c>
      <c r="C225" s="10">
        <v>546.03509521484375</v>
      </c>
      <c r="D225" s="10">
        <v>5525.2099609375</v>
      </c>
      <c r="E225" s="17">
        <f t="shared" si="6"/>
        <v>9.1309790492659651E-2</v>
      </c>
      <c r="F225" s="17">
        <f t="shared" si="7"/>
        <v>4.5906403289777124E-2</v>
      </c>
      <c r="G225" s="20"/>
      <c r="H225" s="20"/>
    </row>
    <row r="226" spans="2:8" x14ac:dyDescent="0.3">
      <c r="B226" s="9">
        <v>45775</v>
      </c>
      <c r="C226" s="10">
        <v>595.6728515625</v>
      </c>
      <c r="D226" s="10">
        <v>5686.669921875</v>
      </c>
      <c r="E226" s="17">
        <f t="shared" si="6"/>
        <v>9.0905798514884298E-2</v>
      </c>
      <c r="F226" s="17">
        <f t="shared" si="7"/>
        <v>2.9222411832129543E-2</v>
      </c>
      <c r="G226" s="20"/>
      <c r="H226" s="20"/>
    </row>
    <row r="227" spans="2:8" x14ac:dyDescent="0.3">
      <c r="B227" s="9">
        <v>45782</v>
      </c>
      <c r="C227" s="10">
        <v>591.15301513671875</v>
      </c>
      <c r="D227" s="10">
        <v>5659.91015625</v>
      </c>
      <c r="E227" s="17">
        <f t="shared" si="6"/>
        <v>-7.5877831496354731E-3</v>
      </c>
      <c r="F227" s="17">
        <f t="shared" si="7"/>
        <v>-4.7057005229128564E-3</v>
      </c>
      <c r="G227" s="20"/>
      <c r="H227" s="20"/>
    </row>
    <row r="228" spans="2:8" x14ac:dyDescent="0.3">
      <c r="B228" s="9">
        <v>45789</v>
      </c>
      <c r="C228" s="10">
        <v>638.89501953125</v>
      </c>
      <c r="D228" s="10">
        <v>5958.3798828125</v>
      </c>
      <c r="E228" s="17">
        <f t="shared" si="6"/>
        <v>8.0760823631238238E-2</v>
      </c>
      <c r="F228" s="17">
        <f t="shared" si="7"/>
        <v>5.2734004307985784E-2</v>
      </c>
      <c r="G228" s="20"/>
      <c r="H228" s="20"/>
    </row>
    <row r="229" spans="2:8" x14ac:dyDescent="0.3">
      <c r="B229" s="9">
        <v>45796</v>
      </c>
      <c r="C229" s="10">
        <v>625.64501953125</v>
      </c>
      <c r="D229" s="10">
        <v>5802.81982421875</v>
      </c>
      <c r="E229" s="17">
        <f t="shared" si="6"/>
        <v>-2.0738931428392372E-2</v>
      </c>
      <c r="F229" s="17">
        <f t="shared" si="7"/>
        <v>-2.610777789487331E-2</v>
      </c>
      <c r="G229" s="20"/>
      <c r="H229" s="20"/>
    </row>
    <row r="230" spans="2:8" x14ac:dyDescent="0.3">
      <c r="B230" s="9">
        <v>45803</v>
      </c>
      <c r="C230" s="10">
        <v>646.02886962890625</v>
      </c>
      <c r="D230" s="10">
        <v>5911.68994140625</v>
      </c>
      <c r="E230" s="17">
        <f t="shared" si="6"/>
        <v>3.2580536024930523E-2</v>
      </c>
      <c r="F230" s="17">
        <f t="shared" si="7"/>
        <v>1.8761588414845792E-2</v>
      </c>
      <c r="G230" s="20"/>
      <c r="H230" s="20"/>
    </row>
    <row r="231" spans="2:8" x14ac:dyDescent="0.3">
      <c r="B231" s="9">
        <v>45810</v>
      </c>
      <c r="C231" s="10">
        <v>696.13555908203125</v>
      </c>
      <c r="D231" s="10">
        <v>6000.35986328125</v>
      </c>
      <c r="E231" s="17">
        <f t="shared" si="6"/>
        <v>7.7561068566343525E-2</v>
      </c>
      <c r="F231" s="17">
        <f t="shared" si="7"/>
        <v>1.4999081946761833E-2</v>
      </c>
      <c r="G231" s="20"/>
      <c r="H231" s="20"/>
    </row>
    <row r="232" spans="2:8" x14ac:dyDescent="0.3">
      <c r="B232" s="9">
        <v>45817</v>
      </c>
      <c r="C232" s="10">
        <v>681.3291015625</v>
      </c>
      <c r="D232" s="10">
        <v>5976.97021484375</v>
      </c>
      <c r="E232" s="17">
        <f t="shared" si="6"/>
        <v>-2.126950322586019E-2</v>
      </c>
      <c r="F232" s="17">
        <f t="shared" si="7"/>
        <v>-3.8980409459491239E-3</v>
      </c>
      <c r="G232" s="20"/>
      <c r="H232" s="20"/>
    </row>
    <row r="233" spans="2:8" x14ac:dyDescent="0.3">
      <c r="B233" s="9">
        <v>45824</v>
      </c>
      <c r="C233" s="10">
        <v>680.81024169921875</v>
      </c>
      <c r="D233" s="10">
        <v>5967.83984375</v>
      </c>
      <c r="E233" s="17">
        <f t="shared" si="6"/>
        <v>-7.6154073279908726E-4</v>
      </c>
      <c r="F233" s="17">
        <f t="shared" si="7"/>
        <v>-1.5275918677116389E-3</v>
      </c>
      <c r="G233" s="20"/>
      <c r="H233" s="20"/>
    </row>
    <row r="234" spans="2:8" x14ac:dyDescent="0.3">
      <c r="B234" s="9">
        <v>45831</v>
      </c>
      <c r="C234" s="10">
        <v>732.5377197265625</v>
      </c>
      <c r="D234" s="10">
        <v>6173.06982421875</v>
      </c>
      <c r="E234" s="17">
        <f t="shared" si="6"/>
        <v>7.5979288881198842E-2</v>
      </c>
      <c r="F234" s="17">
        <f t="shared" si="7"/>
        <v>3.4389324419234084E-2</v>
      </c>
      <c r="G234" s="20"/>
      <c r="H234" s="20"/>
    </row>
    <row r="235" spans="2:8" x14ac:dyDescent="0.3">
      <c r="B235" s="9">
        <v>45838</v>
      </c>
      <c r="C235" s="10">
        <v>717.93951416015625</v>
      </c>
      <c r="D235" s="10">
        <v>6279.35009765625</v>
      </c>
      <c r="E235" s="17">
        <f t="shared" si="6"/>
        <v>-1.9928264679469863E-2</v>
      </c>
      <c r="F235" s="17">
        <f t="shared" si="7"/>
        <v>1.7216761913259354E-2</v>
      </c>
      <c r="G235" s="20"/>
      <c r="H235" s="20"/>
    </row>
    <row r="236" spans="2:8" x14ac:dyDescent="0.3">
      <c r="B236" s="9">
        <v>45845</v>
      </c>
      <c r="C236" s="10">
        <v>716.44171142578125</v>
      </c>
      <c r="D236" s="10">
        <v>6259.75</v>
      </c>
      <c r="E236" s="17">
        <f t="shared" si="6"/>
        <v>-2.0862519820031436E-3</v>
      </c>
      <c r="F236" s="17">
        <f t="shared" si="7"/>
        <v>-3.1213576805608724E-3</v>
      </c>
      <c r="G236" s="20"/>
      <c r="H236" s="20"/>
    </row>
    <row r="237" spans="2:8" x14ac:dyDescent="0.3">
      <c r="B237" s="9">
        <v>45852</v>
      </c>
      <c r="C237" s="10">
        <v>703.2314453125</v>
      </c>
      <c r="D237" s="10">
        <v>6296.7900390625</v>
      </c>
      <c r="E237" s="17">
        <f t="shared" si="6"/>
        <v>-1.8438717208398812E-2</v>
      </c>
      <c r="F237" s="17">
        <f t="shared" si="7"/>
        <v>5.9171754562881906E-3</v>
      </c>
      <c r="G237" s="20"/>
      <c r="H237" s="20"/>
    </row>
    <row r="238" spans="2:8" x14ac:dyDescent="0.3">
      <c r="B238" s="9">
        <v>45859</v>
      </c>
      <c r="C238" s="10">
        <v>711.61895751953125</v>
      </c>
      <c r="D238" s="10">
        <v>6388.64013671875</v>
      </c>
      <c r="E238" s="17">
        <f t="shared" si="6"/>
        <v>1.1927100619489549E-2</v>
      </c>
      <c r="F238" s="17">
        <f t="shared" si="7"/>
        <v>1.4586812818349131E-2</v>
      </c>
      <c r="G238" s="20"/>
      <c r="H238" s="20"/>
    </row>
    <row r="239" spans="2:8" x14ac:dyDescent="0.3">
      <c r="B239" s="9">
        <v>45866</v>
      </c>
      <c r="C239" s="10">
        <v>748.89337158203125</v>
      </c>
      <c r="D239" s="10">
        <v>6238.009765625</v>
      </c>
      <c r="E239" s="17">
        <f t="shared" si="6"/>
        <v>5.2379737313950014E-2</v>
      </c>
      <c r="F239" s="17">
        <f t="shared" si="7"/>
        <v>-2.357784565576029E-2</v>
      </c>
      <c r="G239" s="20"/>
      <c r="H239" s="20"/>
    </row>
    <row r="240" spans="2:8" x14ac:dyDescent="0.3">
      <c r="B240" s="9">
        <v>45873</v>
      </c>
      <c r="C240" s="10">
        <v>768.1546630859375</v>
      </c>
      <c r="D240" s="10">
        <v>6389.4501953125</v>
      </c>
      <c r="E240" s="17">
        <f t="shared" si="6"/>
        <v>2.5719671497715257E-2</v>
      </c>
      <c r="F240" s="17">
        <f t="shared" si="7"/>
        <v>2.4277042739179945E-2</v>
      </c>
      <c r="G240" s="20"/>
      <c r="H240" s="20"/>
    </row>
    <row r="241" spans="2:8" x14ac:dyDescent="0.3">
      <c r="B241" s="9">
        <v>45880</v>
      </c>
      <c r="C241" s="10">
        <v>784.0609130859375</v>
      </c>
      <c r="D241" s="10">
        <v>6449.7998046875</v>
      </c>
      <c r="E241" s="17">
        <f t="shared" si="6"/>
        <v>2.0707092938939152E-2</v>
      </c>
      <c r="F241" s="17">
        <f t="shared" si="7"/>
        <v>9.4451959918670867E-3</v>
      </c>
      <c r="G241" s="20"/>
      <c r="H241" s="20"/>
    </row>
    <row r="242" spans="2:8" x14ac:dyDescent="0.3">
      <c r="B242" s="9">
        <v>45887</v>
      </c>
      <c r="C242" s="10">
        <v>753.66619873046875</v>
      </c>
      <c r="D242" s="10">
        <v>6466.91015625</v>
      </c>
      <c r="E242" s="17">
        <f t="shared" si="6"/>
        <v>-3.8765756394920962E-2</v>
      </c>
      <c r="F242" s="17">
        <f t="shared" si="7"/>
        <v>2.6528500233549521E-3</v>
      </c>
      <c r="G242" s="20"/>
      <c r="H242" s="20"/>
    </row>
    <row r="243" spans="2:8" x14ac:dyDescent="0.3">
      <c r="B243" s="9">
        <v>45894</v>
      </c>
      <c r="C243" s="10">
        <v>737.60015869140625</v>
      </c>
      <c r="D243" s="10">
        <v>6460.259765625</v>
      </c>
      <c r="E243" s="17">
        <f t="shared" si="6"/>
        <v>-2.1317182681305502E-2</v>
      </c>
      <c r="F243" s="17">
        <f t="shared" si="7"/>
        <v>-1.0283722000641487E-3</v>
      </c>
      <c r="G243" s="20"/>
      <c r="H243" s="20"/>
    </row>
    <row r="244" spans="2:8" x14ac:dyDescent="0.3">
      <c r="B244" s="9">
        <v>45901</v>
      </c>
      <c r="C244" s="10">
        <v>751.32977294921875</v>
      </c>
      <c r="D244" s="10">
        <v>6481.5</v>
      </c>
      <c r="E244" s="17">
        <f t="shared" si="6"/>
        <v>1.8613898188648077E-2</v>
      </c>
      <c r="F244" s="17">
        <f t="shared" si="7"/>
        <v>3.2878297693258634E-3</v>
      </c>
      <c r="G244" s="20"/>
      <c r="H244" s="20"/>
    </row>
    <row r="245" spans="2:8" x14ac:dyDescent="0.3">
      <c r="B245" s="9">
        <v>45908</v>
      </c>
      <c r="C245" s="10">
        <v>754.465087890625</v>
      </c>
      <c r="D245" s="10">
        <v>6584.2900390625</v>
      </c>
      <c r="E245" s="17">
        <f t="shared" si="6"/>
        <v>4.1730210279024328E-3</v>
      </c>
      <c r="F245" s="17">
        <f t="shared" si="7"/>
        <v>1.5858989286816325E-2</v>
      </c>
      <c r="G245" s="20"/>
      <c r="H245" s="20"/>
    </row>
    <row r="246" spans="2:8" x14ac:dyDescent="0.3">
      <c r="B246" s="9">
        <v>45915</v>
      </c>
      <c r="C246" s="10">
        <v>777.2210693359375</v>
      </c>
      <c r="D246" s="10">
        <v>6664.35986328125</v>
      </c>
      <c r="E246" s="17">
        <f t="shared" si="6"/>
        <v>3.0161742154212762E-2</v>
      </c>
      <c r="F246" s="17">
        <f t="shared" si="7"/>
        <v>1.2160737717160268E-2</v>
      </c>
      <c r="G246" s="20"/>
      <c r="H246" s="20"/>
    </row>
    <row r="247" spans="2:8" x14ac:dyDescent="0.3">
      <c r="B247" s="9">
        <v>45922</v>
      </c>
      <c r="C247" s="10">
        <v>742.6427001953125</v>
      </c>
      <c r="D247" s="10">
        <v>6643.7001953125</v>
      </c>
      <c r="E247" s="17">
        <f t="shared" si="6"/>
        <v>-4.448974751825626E-2</v>
      </c>
      <c r="F247" s="17">
        <f t="shared" si="7"/>
        <v>-3.1000228667991004E-3</v>
      </c>
      <c r="G247" s="20"/>
      <c r="H247" s="20"/>
    </row>
    <row r="248" spans="2:8" x14ac:dyDescent="0.3">
      <c r="B248" s="9">
        <v>45929</v>
      </c>
      <c r="C248" s="10">
        <v>709.98095703125</v>
      </c>
      <c r="D248" s="10">
        <v>6715.7900390625</v>
      </c>
      <c r="E248" s="17">
        <f t="shared" si="6"/>
        <v>-4.3980427136054219E-2</v>
      </c>
      <c r="F248" s="17">
        <f t="shared" si="7"/>
        <v>1.0850857448513915E-2</v>
      </c>
      <c r="G248" s="20"/>
      <c r="H248" s="20"/>
    </row>
    <row r="249" spans="2:8" x14ac:dyDescent="0.3">
      <c r="B249" s="9">
        <v>45936</v>
      </c>
      <c r="C249" s="10">
        <v>704.7252197265625</v>
      </c>
      <c r="D249" s="10">
        <v>6552.509765625</v>
      </c>
      <c r="E249" s="17">
        <f t="shared" si="6"/>
        <v>-7.4026454549768542E-3</v>
      </c>
      <c r="F249" s="17">
        <f t="shared" si="7"/>
        <v>-2.4312891333376666E-2</v>
      </c>
      <c r="G249" s="20"/>
      <c r="H249" s="20"/>
    </row>
    <row r="250" spans="2:8" x14ac:dyDescent="0.3">
      <c r="B250" s="9">
        <v>45943</v>
      </c>
      <c r="C250" s="10">
        <v>716.33575439453125</v>
      </c>
      <c r="D250" s="10">
        <v>6664.009765625</v>
      </c>
      <c r="E250" s="17">
        <f t="shared" si="6"/>
        <v>1.6475264887602158E-2</v>
      </c>
      <c r="F250" s="17">
        <f t="shared" si="7"/>
        <v>1.7016380591287034E-2</v>
      </c>
      <c r="G250" s="20"/>
      <c r="H250" s="20"/>
    </row>
    <row r="251" spans="2:8" x14ac:dyDescent="0.3">
      <c r="B251" s="9">
        <v>45950</v>
      </c>
      <c r="C251" s="10">
        <v>737.75830078125</v>
      </c>
      <c r="D251" s="10">
        <v>6791.68994140625</v>
      </c>
      <c r="E251" s="17">
        <f t="shared" si="6"/>
        <v>2.9905733806105683E-2</v>
      </c>
      <c r="F251" s="17">
        <f t="shared" si="7"/>
        <v>1.915966216614258E-2</v>
      </c>
      <c r="G251" s="20"/>
      <c r="H251" s="20"/>
    </row>
    <row r="252" spans="2:8" x14ac:dyDescent="0.3">
      <c r="B252" s="9">
        <v>45957</v>
      </c>
      <c r="C252" s="10">
        <v>647.8216552734375</v>
      </c>
      <c r="D252" s="10">
        <v>6840.2001953125</v>
      </c>
      <c r="E252" s="17">
        <f t="shared" si="6"/>
        <v>-0.12190529799878089</v>
      </c>
      <c r="F252" s="17">
        <f t="shared" si="7"/>
        <v>7.1425895947490404E-3</v>
      </c>
      <c r="G252" s="20"/>
      <c r="H252" s="20"/>
    </row>
    <row r="253" spans="2:8" x14ac:dyDescent="0.3">
      <c r="B253" s="9">
        <v>45964</v>
      </c>
      <c r="C253" s="10">
        <v>621.203369140625</v>
      </c>
      <c r="D253" s="10">
        <v>6728.7998046875</v>
      </c>
      <c r="E253" s="17">
        <f t="shared" si="6"/>
        <v>-4.1088910684187074E-2</v>
      </c>
      <c r="F253" s="17">
        <f t="shared" si="7"/>
        <v>-1.6286130148842899E-2</v>
      </c>
      <c r="G253" s="20"/>
      <c r="H253" s="20"/>
    </row>
    <row r="254" spans="2:8" x14ac:dyDescent="0.3">
      <c r="B254" s="9">
        <v>45971</v>
      </c>
      <c r="C254" s="10">
        <v>608.96337890625</v>
      </c>
      <c r="D254" s="10">
        <v>6734.10986328125</v>
      </c>
      <c r="E254" s="17">
        <f t="shared" si="6"/>
        <v>-1.9703676513068251E-2</v>
      </c>
      <c r="F254" s="17">
        <f t="shared" si="7"/>
        <v>7.891538978542416E-4</v>
      </c>
      <c r="G254" s="20"/>
      <c r="H254" s="20"/>
    </row>
    <row r="255" spans="2:8" x14ac:dyDescent="0.3">
      <c r="B255" s="9">
        <v>45978</v>
      </c>
      <c r="C255" s="10">
        <v>593.7657470703125</v>
      </c>
      <c r="D255" s="10">
        <v>6602.990234375</v>
      </c>
      <c r="E255" s="17">
        <f t="shared" si="6"/>
        <v>-2.4956561202799647E-2</v>
      </c>
      <c r="F255" s="17">
        <f t="shared" si="7"/>
        <v>-1.9470966700617636E-2</v>
      </c>
      <c r="G255" s="20"/>
      <c r="H255" s="20"/>
    </row>
    <row r="256" spans="2:8" x14ac:dyDescent="0.3">
      <c r="B256" s="9">
        <v>45985</v>
      </c>
      <c r="C256" s="10">
        <v>647.4219970703125</v>
      </c>
      <c r="D256" s="10">
        <v>6849.08984375</v>
      </c>
      <c r="E256" s="17">
        <f t="shared" si="6"/>
        <v>9.0366024420816149E-2</v>
      </c>
      <c r="F256" s="17">
        <f t="shared" si="7"/>
        <v>3.7270933416471169E-2</v>
      </c>
      <c r="G256" s="20"/>
      <c r="H256" s="20"/>
    </row>
    <row r="257" spans="2:8" x14ac:dyDescent="0.3">
      <c r="B257" s="9">
        <v>45992</v>
      </c>
      <c r="C257" s="10">
        <v>672.8712158203125</v>
      </c>
      <c r="D257" s="10">
        <v>6870.39990234375</v>
      </c>
      <c r="E257" s="17">
        <f t="shared" si="6"/>
        <v>3.9308548157402375E-2</v>
      </c>
      <c r="F257" s="17">
        <f t="shared" si="7"/>
        <v>3.1113708653122819E-3</v>
      </c>
      <c r="G257" s="20"/>
      <c r="H257" s="20"/>
    </row>
    <row r="258" spans="2:8" x14ac:dyDescent="0.3">
      <c r="B258" s="9">
        <v>45999</v>
      </c>
      <c r="C258" s="10">
        <v>643.70501708984375</v>
      </c>
      <c r="D258" s="10">
        <v>6827.41015625</v>
      </c>
      <c r="E258" s="17">
        <f t="shared" si="6"/>
        <v>-4.3345885579176659E-2</v>
      </c>
      <c r="F258" s="17">
        <f t="shared" si="7"/>
        <v>-6.2572407290417825E-3</v>
      </c>
      <c r="G258" s="20"/>
      <c r="H258" s="20"/>
    </row>
    <row r="259" spans="2:8" x14ac:dyDescent="0.3">
      <c r="B259" s="9">
        <v>46006</v>
      </c>
      <c r="C259" s="10">
        <v>658.233154296875</v>
      </c>
      <c r="D259" s="10">
        <v>6834.5</v>
      </c>
      <c r="E259" s="17">
        <f t="shared" si="6"/>
        <v>2.2569557206050975E-2</v>
      </c>
      <c r="F259" s="17">
        <f t="shared" si="7"/>
        <v>1.0384382346664439E-3</v>
      </c>
      <c r="G259" s="20"/>
      <c r="H259" s="20"/>
    </row>
    <row r="260" spans="2:8" x14ac:dyDescent="0.3">
      <c r="B260" s="9">
        <v>46013</v>
      </c>
      <c r="C260" s="10">
        <v>663.28997802734375</v>
      </c>
      <c r="D260" s="10">
        <v>6929.93994140625</v>
      </c>
      <c r="E260" s="17">
        <f t="shared" si="6"/>
        <v>7.6824202753361026E-3</v>
      </c>
      <c r="F260" s="17">
        <f t="shared" si="7"/>
        <v>1.3964436521508522E-2</v>
      </c>
      <c r="G260" s="20"/>
      <c r="H260" s="20"/>
    </row>
    <row r="261" spans="2:8" x14ac:dyDescent="0.3">
      <c r="B261" s="9">
        <v>46020</v>
      </c>
      <c r="C261" s="10">
        <v>650.40997314453125</v>
      </c>
      <c r="D261" s="10">
        <v>6858.47021484375</v>
      </c>
      <c r="E261" s="17">
        <f t="shared" si="6"/>
        <v>-1.9418361967594104E-2</v>
      </c>
      <c r="F261" s="17">
        <f t="shared" si="7"/>
        <v>-1.031318123487187E-2</v>
      </c>
      <c r="G261" s="20"/>
      <c r="H261" s="20"/>
    </row>
    <row r="262" spans="2:8" x14ac:dyDescent="0.3">
      <c r="B262" s="9">
        <v>46027</v>
      </c>
      <c r="C262" s="10">
        <v>653.05999755859375</v>
      </c>
      <c r="D262" s="10">
        <v>6966.27978515625</v>
      </c>
      <c r="E262" s="17">
        <f t="shared" si="6"/>
        <v>4.074390805003267E-3</v>
      </c>
      <c r="F262" s="17">
        <f t="shared" si="7"/>
        <v>1.5719186193907837E-2</v>
      </c>
      <c r="G262" s="20"/>
      <c r="H262" s="20"/>
    </row>
    <row r="263" spans="2:8" x14ac:dyDescent="0.3">
      <c r="B263" s="9">
        <v>46034</v>
      </c>
      <c r="C263" s="10">
        <v>620.25</v>
      </c>
      <c r="D263" s="10">
        <v>6940.009765625</v>
      </c>
      <c r="E263" s="17">
        <f t="shared" si="6"/>
        <v>-5.0240403150171475E-2</v>
      </c>
      <c r="F263" s="17">
        <f t="shared" si="7"/>
        <v>-3.7710256178952449E-3</v>
      </c>
      <c r="G263" s="20"/>
      <c r="H263" s="20"/>
    </row>
    <row r="264" spans="2:8" x14ac:dyDescent="0.3">
      <c r="B264" s="9">
        <v>46041</v>
      </c>
      <c r="C264" s="10">
        <v>658.760009765625</v>
      </c>
      <c r="D264" s="10">
        <v>6915.60986328125</v>
      </c>
      <c r="E264" s="17">
        <f t="shared" si="6"/>
        <v>6.2087883539903264E-2</v>
      </c>
      <c r="F264" s="17">
        <f t="shared" si="7"/>
        <v>-3.5158311252826611E-3</v>
      </c>
      <c r="G264" s="20"/>
      <c r="H264" s="20"/>
    </row>
    <row r="265" spans="2:8" x14ac:dyDescent="0.3">
      <c r="B265" s="9">
        <v>46048</v>
      </c>
      <c r="C265" s="10">
        <v>716.5</v>
      </c>
      <c r="D265" s="10">
        <v>6939.02978515625</v>
      </c>
      <c r="E265" s="17">
        <f t="shared" si="6"/>
        <v>8.7649507223302545E-2</v>
      </c>
      <c r="F265" s="17">
        <f t="shared" si="7"/>
        <v>3.3865302320405834E-3</v>
      </c>
      <c r="G265" s="20"/>
      <c r="H265" s="20"/>
    </row>
    <row r="266" spans="2:8" x14ac:dyDescent="0.3">
      <c r="B266" s="9">
        <v>46055</v>
      </c>
      <c r="C266" s="10">
        <v>661.46002197265625</v>
      </c>
      <c r="D266" s="10">
        <v>6932.2998046875</v>
      </c>
      <c r="E266" s="17">
        <f t="shared" ref="E266:E269" si="8">(C266-C265)/C265</f>
        <v>-7.6817833953026868E-2</v>
      </c>
      <c r="F266" s="17">
        <f t="shared" ref="F266:F269" si="9">(D266-D265)/D265</f>
        <v>-9.6987340840452342E-4</v>
      </c>
      <c r="G266" s="20"/>
      <c r="H266" s="20"/>
    </row>
    <row r="267" spans="2:8" x14ac:dyDescent="0.3">
      <c r="B267" s="9">
        <v>46062</v>
      </c>
      <c r="C267" s="10">
        <v>639.77001953125</v>
      </c>
      <c r="D267" s="10">
        <v>6836.169921875</v>
      </c>
      <c r="E267" s="17">
        <f t="shared" si="8"/>
        <v>-3.2791101080788948E-2</v>
      </c>
      <c r="F267" s="17">
        <f t="shared" si="9"/>
        <v>-1.386695404424065E-2</v>
      </c>
      <c r="G267" s="20"/>
      <c r="H267" s="20"/>
    </row>
    <row r="268" spans="2:8" x14ac:dyDescent="0.3">
      <c r="B268" s="9">
        <v>46069</v>
      </c>
      <c r="C268" s="10">
        <v>655.65997314453125</v>
      </c>
      <c r="D268" s="10">
        <v>6909.509765625</v>
      </c>
      <c r="E268" s="17">
        <f t="shared" si="8"/>
        <v>2.4836977551595155E-2</v>
      </c>
      <c r="F268" s="17">
        <f t="shared" si="9"/>
        <v>1.0728206669544663E-2</v>
      </c>
      <c r="G268" s="20"/>
      <c r="H268" s="20"/>
    </row>
    <row r="269" spans="2:8" x14ac:dyDescent="0.3">
      <c r="B269" s="9">
        <v>46076</v>
      </c>
      <c r="C269" s="10">
        <v>654.4949951171875</v>
      </c>
      <c r="D269" s="10">
        <v>6882.85986328125</v>
      </c>
      <c r="E269" s="17">
        <f t="shared" si="8"/>
        <v>-1.7768021155181095E-3</v>
      </c>
      <c r="F269" s="17">
        <f t="shared" si="9"/>
        <v>-3.856988881661908E-3</v>
      </c>
      <c r="G269" s="20"/>
      <c r="H26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Mohanad A</cp:lastModifiedBy>
  <dcterms:created xsi:type="dcterms:W3CDTF">2026-02-26T17:05:36Z</dcterms:created>
  <dcterms:modified xsi:type="dcterms:W3CDTF">2026-02-26T17:58:52Z</dcterms:modified>
</cp:coreProperties>
</file>