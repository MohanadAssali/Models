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92E2ECD-A17E-4AD9-B46B-438A26B2B0D2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4" i="1" l="1"/>
  <c r="H60" i="1" l="1"/>
  <c r="H59" i="1"/>
  <c r="H58" i="1"/>
  <c r="H56" i="1"/>
  <c r="H55" i="1"/>
  <c r="J51" i="1"/>
  <c r="J50" i="1"/>
  <c r="J49" i="1"/>
  <c r="I50" i="1"/>
  <c r="I49" i="1"/>
  <c r="H49" i="1"/>
  <c r="H50" i="1"/>
  <c r="G51" i="1"/>
  <c r="G50" i="1"/>
  <c r="G49" i="1"/>
  <c r="F50" i="1"/>
  <c r="F49" i="1"/>
  <c r="E49" i="1"/>
  <c r="E50" i="1"/>
  <c r="H43" i="1"/>
  <c r="H42" i="1"/>
  <c r="H41" i="1"/>
  <c r="H40" i="1"/>
  <c r="H39" i="1"/>
  <c r="H34" i="1"/>
  <c r="H38" i="1" s="1"/>
  <c r="F39" i="1"/>
  <c r="E39" i="1"/>
  <c r="G43" i="1"/>
  <c r="G42" i="1"/>
  <c r="G41" i="1"/>
  <c r="G40" i="1"/>
  <c r="G39" i="1"/>
  <c r="F43" i="1"/>
  <c r="F42" i="1"/>
  <c r="F41" i="1"/>
  <c r="F40" i="1"/>
  <c r="F37" i="1"/>
  <c r="F36" i="1"/>
  <c r="F35" i="1"/>
  <c r="F34" i="1"/>
  <c r="E43" i="1"/>
  <c r="E37" i="1"/>
  <c r="E36" i="1"/>
  <c r="E35" i="1"/>
  <c r="E34" i="1"/>
  <c r="H23" i="1"/>
  <c r="H21" i="1"/>
  <c r="H17" i="1"/>
  <c r="H16" i="1"/>
  <c r="H14" i="1"/>
  <c r="H15" i="1"/>
  <c r="H13" i="1"/>
  <c r="H20" i="1"/>
  <c r="G57" i="1"/>
  <c r="G54" i="1"/>
  <c r="G60" i="1"/>
  <c r="G58" i="1"/>
  <c r="F60" i="1"/>
  <c r="F59" i="1"/>
  <c r="F58" i="1"/>
  <c r="F57" i="1"/>
  <c r="F56" i="1"/>
  <c r="G56" i="1" s="1"/>
  <c r="F55" i="1"/>
  <c r="G55" i="1" s="1"/>
  <c r="E59" i="1"/>
  <c r="E61" i="1" s="1"/>
  <c r="J57" i="1"/>
  <c r="J59" i="1"/>
  <c r="J60" i="1"/>
  <c r="N59" i="1"/>
  <c r="N58" i="1"/>
  <c r="O59" i="1"/>
  <c r="O61" i="1" s="1"/>
  <c r="P59" i="1"/>
  <c r="P61" i="1" s="1"/>
  <c r="Q60" i="1"/>
  <c r="Q59" i="1"/>
  <c r="R59" i="1"/>
  <c r="R60" i="1"/>
  <c r="R58" i="1"/>
  <c r="N50" i="1"/>
  <c r="N49" i="1"/>
  <c r="O49" i="1"/>
  <c r="O50" i="1"/>
  <c r="P49" i="1"/>
  <c r="P50" i="1"/>
  <c r="N34" i="1"/>
  <c r="N38" i="1" s="1"/>
  <c r="N39" i="1"/>
  <c r="N43" i="1"/>
  <c r="O43" i="1"/>
  <c r="O39" i="1"/>
  <c r="O34" i="1"/>
  <c r="O38" i="1" s="1"/>
  <c r="P43" i="1"/>
  <c r="P39" i="1"/>
  <c r="Q39" i="1"/>
  <c r="Q43" i="1"/>
  <c r="P34" i="1"/>
  <c r="P38" i="1" s="1"/>
  <c r="K60" i="1"/>
  <c r="K59" i="1"/>
  <c r="K58" i="1"/>
  <c r="K57" i="1"/>
  <c r="K56" i="1"/>
  <c r="K55" i="1"/>
  <c r="J58" i="1"/>
  <c r="J56" i="1"/>
  <c r="J55" i="1"/>
  <c r="I60" i="1"/>
  <c r="I59" i="1"/>
  <c r="I58" i="1"/>
  <c r="K50" i="1"/>
  <c r="K52" i="1" s="1"/>
  <c r="I43" i="1"/>
  <c r="I34" i="1"/>
  <c r="I38" i="1" s="1"/>
  <c r="J43" i="1"/>
  <c r="J34" i="1"/>
  <c r="J38" i="1" s="1"/>
  <c r="K43" i="1"/>
  <c r="K34" i="1"/>
  <c r="K38" i="1" s="1"/>
  <c r="Q50" i="1"/>
  <c r="Q52" i="1" s="1"/>
  <c r="R50" i="1"/>
  <c r="R52" i="1" s="1"/>
  <c r="Q34" i="1"/>
  <c r="Q38" i="1" s="1"/>
  <c r="R43" i="1"/>
  <c r="I61" i="1" l="1"/>
  <c r="Q61" i="1"/>
  <c r="F52" i="1"/>
  <c r="G52" i="1"/>
  <c r="N52" i="1"/>
  <c r="I52" i="1"/>
  <c r="E52" i="1"/>
  <c r="H52" i="1"/>
  <c r="H44" i="1"/>
  <c r="J52" i="1"/>
  <c r="E38" i="1"/>
  <c r="E44" i="1" s="1"/>
  <c r="F38" i="1"/>
  <c r="F44" i="1" s="1"/>
  <c r="F61" i="1"/>
  <c r="R61" i="1"/>
  <c r="N61" i="1"/>
  <c r="G59" i="1"/>
  <c r="G61" i="1" s="1"/>
  <c r="K61" i="1"/>
  <c r="H18" i="1"/>
  <c r="H19" i="1" s="1"/>
  <c r="H22" i="1" s="1"/>
  <c r="H24" i="1" s="1"/>
  <c r="H25" i="1" s="1"/>
  <c r="J61" i="1"/>
  <c r="O52" i="1"/>
  <c r="P52" i="1"/>
  <c r="O44" i="1"/>
  <c r="N44" i="1"/>
  <c r="P44" i="1"/>
  <c r="I44" i="1"/>
  <c r="Q44" i="1"/>
  <c r="J44" i="1"/>
  <c r="K44" i="1"/>
  <c r="R38" i="1"/>
  <c r="R44" i="1" s="1"/>
  <c r="O30" i="1"/>
  <c r="N30" i="1"/>
  <c r="N21" i="1"/>
  <c r="N23" i="1"/>
  <c r="N20" i="1"/>
  <c r="N18" i="1"/>
  <c r="N15" i="1"/>
  <c r="N31" i="1" s="1"/>
  <c r="O23" i="1"/>
  <c r="O21" i="1"/>
  <c r="O20" i="1"/>
  <c r="O18" i="1"/>
  <c r="O15" i="1"/>
  <c r="P20" i="1"/>
  <c r="Q20" i="1"/>
  <c r="R20" i="1"/>
  <c r="P21" i="1"/>
  <c r="Q21" i="1"/>
  <c r="R21" i="1"/>
  <c r="Q18" i="1"/>
  <c r="P18" i="1"/>
  <c r="R18" i="1"/>
  <c r="I29" i="1"/>
  <c r="H29" i="1"/>
  <c r="G29" i="1"/>
  <c r="F29" i="1"/>
  <c r="G18" i="1"/>
  <c r="G20" i="1"/>
  <c r="E23" i="1"/>
  <c r="E21" i="1"/>
  <c r="E20" i="1"/>
  <c r="E18" i="1"/>
  <c r="E15" i="1"/>
  <c r="G23" i="1"/>
  <c r="G21" i="1"/>
  <c r="I21" i="1"/>
  <c r="I20" i="1"/>
  <c r="J21" i="1"/>
  <c r="J20" i="1"/>
  <c r="K21" i="1"/>
  <c r="K20" i="1"/>
  <c r="J18" i="1"/>
  <c r="I18" i="1"/>
  <c r="K18" i="1"/>
  <c r="F20" i="1"/>
  <c r="F21" i="1"/>
  <c r="F18" i="1"/>
  <c r="F15" i="1"/>
  <c r="F31" i="1" s="1"/>
  <c r="P30" i="1"/>
  <c r="G34" i="1"/>
  <c r="G38" i="1" s="1"/>
  <c r="G44" i="1" s="1"/>
  <c r="Q30" i="1"/>
  <c r="R30" i="1"/>
  <c r="H61" i="1" l="1"/>
  <c r="H32" i="1"/>
  <c r="O19" i="1"/>
  <c r="O32" i="1" s="1"/>
  <c r="E19" i="1"/>
  <c r="E22" i="1" s="1"/>
  <c r="E24" i="1" s="1"/>
  <c r="E25" i="1" s="1"/>
  <c r="H31" i="1"/>
  <c r="O31" i="1"/>
  <c r="E31" i="1"/>
  <c r="N19" i="1"/>
  <c r="F19" i="1"/>
  <c r="F32" i="1" s="1"/>
  <c r="O22" i="1" l="1"/>
  <c r="O24" i="1" s="1"/>
  <c r="E32" i="1"/>
  <c r="N32" i="1"/>
  <c r="N22" i="1"/>
  <c r="N24" i="1" s="1"/>
  <c r="F22" i="1"/>
  <c r="F24" i="1" s="1"/>
  <c r="F25" i="1" s="1"/>
  <c r="K29" i="1"/>
  <c r="J29" i="1"/>
  <c r="R15" i="1"/>
  <c r="R31" i="1" s="1"/>
  <c r="Q15" i="1"/>
  <c r="P15" i="1"/>
  <c r="P31" i="1" s="1"/>
  <c r="J15" i="1"/>
  <c r="I15" i="1"/>
  <c r="G15" i="1"/>
  <c r="K15" i="1"/>
  <c r="K5" i="1"/>
  <c r="K8" i="1" s="1"/>
  <c r="N25" i="1" l="1"/>
  <c r="O25" i="1"/>
  <c r="G31" i="1"/>
  <c r="G19" i="1"/>
  <c r="G22" i="1" s="1"/>
  <c r="R19" i="1"/>
  <c r="K31" i="1"/>
  <c r="J19" i="1"/>
  <c r="J22" i="1" s="1"/>
  <c r="J31" i="1"/>
  <c r="P19" i="1"/>
  <c r="P22" i="1" s="1"/>
  <c r="P24" i="1" s="1"/>
  <c r="I19" i="1"/>
  <c r="I22" i="1" s="1"/>
  <c r="I31" i="1"/>
  <c r="Q19" i="1"/>
  <c r="Q22" i="1" s="1"/>
  <c r="Q24" i="1" s="1"/>
  <c r="Q31" i="1"/>
  <c r="R22" i="1" l="1"/>
  <c r="R24" i="1" s="1"/>
  <c r="R32" i="1"/>
  <c r="P25" i="1"/>
  <c r="P32" i="1"/>
  <c r="J24" i="1"/>
  <c r="J32" i="1"/>
  <c r="G24" i="1"/>
  <c r="G32" i="1"/>
  <c r="Q25" i="1"/>
  <c r="Q32" i="1"/>
  <c r="I24" i="1"/>
  <c r="I32" i="1"/>
  <c r="R25" i="1" l="1"/>
  <c r="G25" i="1"/>
  <c r="I25" i="1"/>
  <c r="J25" i="1"/>
  <c r="K19" i="1"/>
  <c r="K32" i="1" s="1"/>
  <c r="K22" i="1" l="1"/>
  <c r="K24" i="1" s="1"/>
  <c r="K25" i="1" l="1"/>
</calcChain>
</file>

<file path=xl/sharedStrings.xml><?xml version="1.0" encoding="utf-8"?>
<sst xmlns="http://schemas.openxmlformats.org/spreadsheetml/2006/main" count="80" uniqueCount="76">
  <si>
    <t>Capital Structure</t>
  </si>
  <si>
    <t>Price</t>
  </si>
  <si>
    <t>Shares outstanding</t>
  </si>
  <si>
    <t>MC</t>
  </si>
  <si>
    <t>Cash</t>
  </si>
  <si>
    <t>Debt</t>
  </si>
  <si>
    <t>EV</t>
  </si>
  <si>
    <t>Income Statement</t>
  </si>
  <si>
    <t>Revenue</t>
  </si>
  <si>
    <t>COGS</t>
  </si>
  <si>
    <t>Gross Profit</t>
  </si>
  <si>
    <t>Q125</t>
  </si>
  <si>
    <t>Q225</t>
  </si>
  <si>
    <t>Q325</t>
  </si>
  <si>
    <t>Q425</t>
  </si>
  <si>
    <t>FY2022</t>
  </si>
  <si>
    <t>FY2023</t>
  </si>
  <si>
    <t>FY2024</t>
  </si>
  <si>
    <t>FY2025</t>
  </si>
  <si>
    <t>FY2026</t>
  </si>
  <si>
    <t>SG&amp;D</t>
  </si>
  <si>
    <t>Operating expenses</t>
  </si>
  <si>
    <t>EBITDA</t>
  </si>
  <si>
    <t>Interest exp</t>
  </si>
  <si>
    <t>Pretax Income</t>
  </si>
  <si>
    <t>Tax</t>
  </si>
  <si>
    <t>Net Income</t>
  </si>
  <si>
    <t>EPS</t>
  </si>
  <si>
    <t>Shares</t>
  </si>
  <si>
    <t>Revenue q/q</t>
  </si>
  <si>
    <t>Revenue y/y</t>
  </si>
  <si>
    <t>Gross Margin</t>
  </si>
  <si>
    <t>Operating Margin</t>
  </si>
  <si>
    <t>Balance Sheet</t>
  </si>
  <si>
    <t>Assets</t>
  </si>
  <si>
    <t>A/R</t>
  </si>
  <si>
    <t>Inventory</t>
  </si>
  <si>
    <t>OCA</t>
  </si>
  <si>
    <t>PPE</t>
  </si>
  <si>
    <t>Goodwill</t>
  </si>
  <si>
    <t>Equity &amp; Liabilities</t>
  </si>
  <si>
    <t>A/P</t>
  </si>
  <si>
    <t>SE</t>
  </si>
  <si>
    <t>L+SE</t>
  </si>
  <si>
    <t xml:space="preserve">Tax </t>
  </si>
  <si>
    <t>CocaCola Company (KO)</t>
  </si>
  <si>
    <t>Created 1/13/2026</t>
  </si>
  <si>
    <t>Cashflow</t>
  </si>
  <si>
    <t>Model NI</t>
  </si>
  <si>
    <t>SBC</t>
  </si>
  <si>
    <t>DT</t>
  </si>
  <si>
    <t>Other</t>
  </si>
  <si>
    <t>WC</t>
  </si>
  <si>
    <t>CFFO</t>
  </si>
  <si>
    <t>NP</t>
  </si>
  <si>
    <t>Q324</t>
  </si>
  <si>
    <t>Main</t>
  </si>
  <si>
    <t>Quartely</t>
  </si>
  <si>
    <t>Annually</t>
  </si>
  <si>
    <t>Q224</t>
  </si>
  <si>
    <t>Other Exp</t>
  </si>
  <si>
    <t>Other Income</t>
  </si>
  <si>
    <t>Q424</t>
  </si>
  <si>
    <t>Q124</t>
  </si>
  <si>
    <t>FY2027</t>
  </si>
  <si>
    <t>FY2028</t>
  </si>
  <si>
    <t>FY2021</t>
  </si>
  <si>
    <t>FY2020</t>
  </si>
  <si>
    <t xml:space="preserve">Investments </t>
  </si>
  <si>
    <t>Trademarks</t>
  </si>
  <si>
    <t>Current Assets</t>
  </si>
  <si>
    <t>Dividends</t>
  </si>
  <si>
    <t>D&amp;A</t>
  </si>
  <si>
    <t>$mil</t>
  </si>
  <si>
    <t>Mohanad Assali</t>
  </si>
  <si>
    <t>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</si>
</sst>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3" fontId="4" fillId="0" borderId="0" xfId="0" applyNumberFormat="1" applyFont="1"/>
    <xf numFmtId="0" fontId="5" fillId="0" borderId="0" xfId="0" applyFont="1"/>
    <xf numFmtId="3" fontId="3" fillId="0" borderId="0" xfId="0" applyNumberFormat="1" applyFont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10</xdr:row>
      <xdr:rowOff>66130</xdr:rowOff>
    </xdr:from>
    <xdr:to>
      <xdr:col>18</xdr:col>
      <xdr:colOff>11340</xdr:colOff>
      <xdr:row>63</xdr:row>
      <xdr:rowOff>11339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85F8845-2CB8-2800-32E6-EEDC6014BF58}"/>
            </a:ext>
          </a:extLst>
        </xdr:cNvPr>
        <xdr:cNvCxnSpPr/>
      </xdr:nvCxnSpPr>
      <xdr:spPr>
        <a:xfrm>
          <a:off x="12280446" y="1880416"/>
          <a:ext cx="11340" cy="9560923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11339</xdr:colOff>
      <xdr:row>10</xdr:row>
      <xdr:rowOff>11430</xdr:rowOff>
    </xdr:from>
    <xdr:to>
      <xdr:col>11</xdr:col>
      <xdr:colOff>11430</xdr:colOff>
      <xdr:row>62</xdr:row>
      <xdr:rowOff>170090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A535F53-B459-469C-B1A4-1BCAE361C47F}"/>
            </a:ext>
          </a:extLst>
        </xdr:cNvPr>
        <xdr:cNvCxnSpPr/>
      </xdr:nvCxnSpPr>
      <xdr:spPr>
        <a:xfrm flipH="1">
          <a:off x="7302500" y="1825716"/>
          <a:ext cx="91" cy="959294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143392</xdr:colOff>
      <xdr:row>0</xdr:row>
      <xdr:rowOff>143392</xdr:rowOff>
    </xdr:from>
    <xdr:to>
      <xdr:col>25</xdr:col>
      <xdr:colOff>96865</xdr:colOff>
      <xdr:row>3</xdr:row>
      <xdr:rowOff>169761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299" y="143392"/>
          <a:ext cx="566948" cy="55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R212"/>
  <sheetViews>
    <sheetView tabSelected="1" zoomScale="84" zoomScaleNormal="84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A37" sqref="AA37"/>
    </sheetView>
  </sheetViews>
  <sheetFormatPr defaultRowHeight="14.4" x14ac:dyDescent="0.3"/>
  <cols>
    <col min="5" max="6" width="10.109375" bestFit="1" customWidth="1"/>
    <col min="7" max="11" width="10.109375" customWidth="1"/>
    <col min="12" max="13" width="11.5546875" customWidth="1"/>
    <col min="14" max="17" width="9.6640625" bestFit="1" customWidth="1"/>
    <col min="18" max="18" width="10.5546875" customWidth="1"/>
    <col min="23" max="23" width="1.5546875" customWidth="1"/>
    <col min="24" max="24" width="1" customWidth="1"/>
  </cols>
  <sheetData>
    <row r="1" spans="1:44" x14ac:dyDescent="0.3">
      <c r="A1" s="12" t="s">
        <v>46</v>
      </c>
      <c r="B1" s="12"/>
      <c r="C1" s="12"/>
      <c r="D1" s="12"/>
      <c r="E1" s="12"/>
      <c r="F1" s="12"/>
      <c r="G1" s="12" t="s">
        <v>45</v>
      </c>
      <c r="H1" s="12"/>
      <c r="I1" s="23"/>
      <c r="J1" s="12"/>
      <c r="K1" s="12"/>
      <c r="L1" s="12"/>
      <c r="M1" s="12" t="s">
        <v>74</v>
      </c>
      <c r="N1" s="12"/>
      <c r="O1" s="12"/>
      <c r="P1" s="12"/>
      <c r="Q1" s="12"/>
      <c r="R1" s="12"/>
      <c r="S1" s="12"/>
      <c r="T1" s="12"/>
      <c r="U1" s="12"/>
      <c r="V1" s="12"/>
      <c r="W1" s="10"/>
      <c r="X1" s="10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x14ac:dyDescent="0.3">
      <c r="A2" s="14" t="s">
        <v>56</v>
      </c>
      <c r="B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x14ac:dyDescent="0.3">
      <c r="A3" s="9"/>
      <c r="B3" s="9"/>
      <c r="G3" s="22" t="s">
        <v>0</v>
      </c>
      <c r="H3" s="22"/>
      <c r="I3" s="11"/>
      <c r="J3" t="s">
        <v>1</v>
      </c>
      <c r="K3" s="1">
        <v>70.650000000000006</v>
      </c>
      <c r="W3" s="10"/>
      <c r="X3" s="10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x14ac:dyDescent="0.3">
      <c r="A4" s="20"/>
      <c r="B4" s="9"/>
      <c r="E4" s="20"/>
      <c r="J4" t="s">
        <v>2</v>
      </c>
      <c r="K4" s="1">
        <v>4300</v>
      </c>
      <c r="M4" s="20"/>
      <c r="N4" s="2"/>
      <c r="O4" s="2"/>
      <c r="P4" s="20"/>
      <c r="W4" s="10"/>
      <c r="X4" s="10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44" x14ac:dyDescent="0.3">
      <c r="A5" s="9"/>
      <c r="B5" s="9"/>
      <c r="J5" t="s">
        <v>3</v>
      </c>
      <c r="K5" s="1">
        <f>K4*K3</f>
        <v>303795</v>
      </c>
      <c r="W5" s="10"/>
      <c r="X5" s="10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x14ac:dyDescent="0.3">
      <c r="A6" s="9"/>
      <c r="B6" s="9"/>
      <c r="J6" t="s">
        <v>4</v>
      </c>
      <c r="K6" s="1">
        <v>1578</v>
      </c>
      <c r="W6" s="10"/>
      <c r="X6" s="10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x14ac:dyDescent="0.3">
      <c r="A7" s="9"/>
      <c r="B7" s="9"/>
      <c r="J7" t="s">
        <v>5</v>
      </c>
      <c r="K7" s="1">
        <v>4816</v>
      </c>
      <c r="W7" s="10"/>
      <c r="X7" s="10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x14ac:dyDescent="0.3">
      <c r="A8" s="9"/>
      <c r="B8" s="9"/>
      <c r="J8" t="s">
        <v>6</v>
      </c>
      <c r="K8" s="1">
        <f>K5+K7-K6</f>
        <v>307033</v>
      </c>
      <c r="W8" s="10"/>
      <c r="X8" s="10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spans="1:44" x14ac:dyDescent="0.3">
      <c r="A9" s="9"/>
      <c r="B9" s="9"/>
      <c r="E9" s="18" t="s">
        <v>57</v>
      </c>
      <c r="G9" s="18"/>
      <c r="H9" s="18"/>
      <c r="N9" s="18" t="s">
        <v>58</v>
      </c>
      <c r="P9" s="18"/>
      <c r="W9" s="10"/>
      <c r="X9" s="10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spans="1:44" x14ac:dyDescent="0.3">
      <c r="A10" s="12" t="s">
        <v>75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0"/>
      <c r="X10" s="10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x14ac:dyDescent="0.3">
      <c r="A11" s="9"/>
      <c r="B11" s="9"/>
      <c r="C11" s="2" t="s">
        <v>73</v>
      </c>
      <c r="D11" s="2"/>
      <c r="E11" t="s">
        <v>63</v>
      </c>
      <c r="F11" t="s">
        <v>59</v>
      </c>
      <c r="G11" t="s">
        <v>55</v>
      </c>
      <c r="H11" t="s">
        <v>62</v>
      </c>
      <c r="I11" t="s">
        <v>11</v>
      </c>
      <c r="J11" t="s">
        <v>12</v>
      </c>
      <c r="K11" t="s">
        <v>13</v>
      </c>
      <c r="L11" t="s">
        <v>14</v>
      </c>
      <c r="N11" t="s">
        <v>67</v>
      </c>
      <c r="O11" t="s">
        <v>66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64</v>
      </c>
      <c r="V11" t="s">
        <v>65</v>
      </c>
      <c r="W11" s="10"/>
      <c r="X11" s="10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1:44" x14ac:dyDescent="0.3">
      <c r="A12" s="9"/>
      <c r="B12" s="9"/>
      <c r="E12" s="13">
        <v>45380</v>
      </c>
      <c r="F12" s="13">
        <v>45502</v>
      </c>
      <c r="G12" s="13">
        <v>45562</v>
      </c>
      <c r="H12" s="13">
        <v>45708</v>
      </c>
      <c r="I12" s="13">
        <v>45744</v>
      </c>
      <c r="J12" s="13">
        <v>45835</v>
      </c>
      <c r="K12" s="13">
        <v>45926</v>
      </c>
      <c r="L12" s="13">
        <v>46073</v>
      </c>
      <c r="M12" s="13"/>
      <c r="N12" s="13">
        <v>44237</v>
      </c>
      <c r="O12" s="13">
        <v>44614</v>
      </c>
      <c r="P12" s="13">
        <v>44978</v>
      </c>
      <c r="Q12" s="13">
        <v>45342</v>
      </c>
      <c r="R12" s="13">
        <v>45708</v>
      </c>
      <c r="W12" s="10"/>
      <c r="X12" s="10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 x14ac:dyDescent="0.3">
      <c r="A13" s="7" t="s">
        <v>7</v>
      </c>
      <c r="B13" s="8"/>
      <c r="C13" t="s">
        <v>8</v>
      </c>
      <c r="E13">
        <v>11300</v>
      </c>
      <c r="F13" s="1">
        <v>12363</v>
      </c>
      <c r="G13" s="1">
        <v>11854</v>
      </c>
      <c r="H13" s="1">
        <f>47061-35517</f>
        <v>11544</v>
      </c>
      <c r="I13" s="1">
        <v>11129</v>
      </c>
      <c r="J13" s="1">
        <v>12535</v>
      </c>
      <c r="K13" s="1">
        <v>12455</v>
      </c>
      <c r="M13" s="19">
        <v>37266</v>
      </c>
      <c r="N13" s="1">
        <v>33014</v>
      </c>
      <c r="O13" s="1">
        <v>38655</v>
      </c>
      <c r="P13" s="1">
        <v>43004</v>
      </c>
      <c r="Q13" s="1">
        <v>45754</v>
      </c>
      <c r="R13" s="1">
        <v>47061</v>
      </c>
      <c r="W13" s="10"/>
      <c r="X13" s="10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x14ac:dyDescent="0.3">
      <c r="A14" s="9"/>
      <c r="B14" s="9"/>
      <c r="C14" t="s">
        <v>9</v>
      </c>
      <c r="E14">
        <v>4235</v>
      </c>
      <c r="F14" s="1">
        <v>4812</v>
      </c>
      <c r="G14" s="1">
        <v>4664</v>
      </c>
      <c r="H14" s="1">
        <f>18324-13711</f>
        <v>4613</v>
      </c>
      <c r="I14" s="1">
        <v>4163</v>
      </c>
      <c r="J14" s="1">
        <v>4714</v>
      </c>
      <c r="K14" s="1">
        <v>4797</v>
      </c>
      <c r="N14" s="1">
        <v>13433</v>
      </c>
      <c r="O14">
        <v>15357</v>
      </c>
      <c r="P14" s="1">
        <v>18000</v>
      </c>
      <c r="Q14" s="1">
        <v>18520</v>
      </c>
      <c r="R14" s="1">
        <v>18324</v>
      </c>
      <c r="W14" s="10"/>
      <c r="X14" s="10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x14ac:dyDescent="0.3">
      <c r="A15" s="9"/>
      <c r="B15" s="9"/>
      <c r="C15" t="s">
        <v>10</v>
      </c>
      <c r="E15" s="1">
        <f t="shared" ref="E15:K15" si="0">E13-E14</f>
        <v>7065</v>
      </c>
      <c r="F15" s="1">
        <f t="shared" si="0"/>
        <v>7551</v>
      </c>
      <c r="G15" s="1">
        <f t="shared" si="0"/>
        <v>7190</v>
      </c>
      <c r="H15" s="1">
        <f>28737-21806</f>
        <v>6931</v>
      </c>
      <c r="I15" s="1">
        <f t="shared" si="0"/>
        <v>6966</v>
      </c>
      <c r="J15" s="1">
        <f t="shared" si="0"/>
        <v>7821</v>
      </c>
      <c r="K15" s="1">
        <f t="shared" si="0"/>
        <v>7658</v>
      </c>
      <c r="N15" s="1">
        <f t="shared" ref="N15:O15" si="1">N13-N14</f>
        <v>19581</v>
      </c>
      <c r="O15" s="1">
        <f t="shared" si="1"/>
        <v>23298</v>
      </c>
      <c r="P15" s="1">
        <f t="shared" ref="P15:R15" si="2">P13-P14</f>
        <v>25004</v>
      </c>
      <c r="Q15" s="1">
        <f t="shared" si="2"/>
        <v>27234</v>
      </c>
      <c r="R15" s="1">
        <f t="shared" si="2"/>
        <v>28737</v>
      </c>
      <c r="W15" s="10"/>
      <c r="X15" s="10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x14ac:dyDescent="0.3">
      <c r="A16" s="9"/>
      <c r="B16" s="9"/>
      <c r="C16" t="s">
        <v>20</v>
      </c>
      <c r="E16" s="1">
        <v>3351</v>
      </c>
      <c r="F16" s="1">
        <v>3549</v>
      </c>
      <c r="G16" s="1">
        <v>3636</v>
      </c>
      <c r="H16" s="1">
        <f>14582-10536</f>
        <v>4046</v>
      </c>
      <c r="I16" s="1">
        <v>3234</v>
      </c>
      <c r="J16" s="1">
        <v>3470</v>
      </c>
      <c r="K16" s="1">
        <v>3618</v>
      </c>
      <c r="N16" s="1">
        <v>9731</v>
      </c>
      <c r="O16" s="1">
        <v>12144</v>
      </c>
      <c r="P16" s="1">
        <v>12880</v>
      </c>
      <c r="Q16" s="1">
        <v>13972</v>
      </c>
      <c r="R16" s="1">
        <v>14582</v>
      </c>
      <c r="W16" s="10"/>
      <c r="X16" s="10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1:44" x14ac:dyDescent="0.3">
      <c r="A17" s="9"/>
      <c r="B17" s="9"/>
      <c r="C17" t="s">
        <v>60</v>
      </c>
      <c r="E17" s="1">
        <v>1573</v>
      </c>
      <c r="F17" s="1">
        <v>1370</v>
      </c>
      <c r="G17" s="1">
        <v>1044</v>
      </c>
      <c r="H17" s="1">
        <f>4163-3987</f>
        <v>176</v>
      </c>
      <c r="I17" s="1">
        <v>73</v>
      </c>
      <c r="J17" s="1">
        <v>71</v>
      </c>
      <c r="K17" s="1">
        <v>58</v>
      </c>
      <c r="N17" s="1">
        <v>853</v>
      </c>
      <c r="O17" s="1">
        <v>846</v>
      </c>
      <c r="P17" s="1">
        <v>1215</v>
      </c>
      <c r="Q17" s="1">
        <v>1951</v>
      </c>
      <c r="R17" s="1">
        <v>4163</v>
      </c>
      <c r="W17" s="10"/>
      <c r="X17" s="10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spans="1:44" x14ac:dyDescent="0.3">
      <c r="A18" s="9"/>
      <c r="B18" s="9"/>
      <c r="C18" t="s">
        <v>21</v>
      </c>
      <c r="E18" s="1">
        <f>SUM(E16:E17)</f>
        <v>4924</v>
      </c>
      <c r="F18" s="1">
        <f>SUM(F16:F17)</f>
        <v>4919</v>
      </c>
      <c r="G18" s="1">
        <f t="shared" ref="G18:J18" si="3">SUM(G16:G17)</f>
        <v>4680</v>
      </c>
      <c r="H18" s="1">
        <f t="shared" si="3"/>
        <v>4222</v>
      </c>
      <c r="I18" s="1">
        <f t="shared" si="3"/>
        <v>3307</v>
      </c>
      <c r="J18" s="1">
        <f t="shared" si="3"/>
        <v>3541</v>
      </c>
      <c r="K18" s="1">
        <f>SUM(K16:K17)</f>
        <v>3676</v>
      </c>
      <c r="N18" s="1">
        <f t="shared" ref="N18:Q18" si="4">SUM(N16:N17)</f>
        <v>10584</v>
      </c>
      <c r="O18" s="1">
        <f t="shared" si="4"/>
        <v>12990</v>
      </c>
      <c r="P18" s="1">
        <f t="shared" si="4"/>
        <v>14095</v>
      </c>
      <c r="Q18" s="1">
        <f t="shared" si="4"/>
        <v>15923</v>
      </c>
      <c r="R18" s="1">
        <f>SUM(R16:R17)</f>
        <v>18745</v>
      </c>
      <c r="W18" s="10"/>
      <c r="X18" s="10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x14ac:dyDescent="0.3">
      <c r="A19" s="9"/>
      <c r="B19" s="9"/>
      <c r="C19" t="s">
        <v>22</v>
      </c>
      <c r="E19" s="1">
        <f t="shared" ref="E19:K19" si="5">E15-E18</f>
        <v>2141</v>
      </c>
      <c r="F19" s="1">
        <f t="shared" si="5"/>
        <v>2632</v>
      </c>
      <c r="G19" s="1">
        <f t="shared" si="5"/>
        <v>2510</v>
      </c>
      <c r="H19" s="1">
        <f t="shared" si="5"/>
        <v>2709</v>
      </c>
      <c r="I19" s="1">
        <f t="shared" si="5"/>
        <v>3659</v>
      </c>
      <c r="J19" s="1">
        <f t="shared" si="5"/>
        <v>4280</v>
      </c>
      <c r="K19" s="1">
        <f t="shared" si="5"/>
        <v>3982</v>
      </c>
      <c r="L19" s="1"/>
      <c r="M19" s="1"/>
      <c r="N19" s="1">
        <f t="shared" ref="N19:O19" si="6">N15-N18</f>
        <v>8997</v>
      </c>
      <c r="O19" s="1">
        <f t="shared" si="6"/>
        <v>10308</v>
      </c>
      <c r="P19" s="1">
        <f t="shared" ref="P19:Q19" si="7">P15-P18</f>
        <v>10909</v>
      </c>
      <c r="Q19" s="1">
        <f t="shared" si="7"/>
        <v>11311</v>
      </c>
      <c r="R19" s="1">
        <f>R15-R18</f>
        <v>9992</v>
      </c>
      <c r="W19" s="10"/>
      <c r="X19" s="10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1:44" x14ac:dyDescent="0.3">
      <c r="A20" s="9"/>
      <c r="B20" s="9"/>
      <c r="C20" t="s">
        <v>23</v>
      </c>
      <c r="E20" s="1">
        <f>-382+246</f>
        <v>-136</v>
      </c>
      <c r="F20" s="1">
        <f>-418+275</f>
        <v>-143</v>
      </c>
      <c r="G20" s="1">
        <f>-425+263</f>
        <v>-162</v>
      </c>
      <c r="H20" s="1">
        <f>-668+441</f>
        <v>-227</v>
      </c>
      <c r="I20" s="1">
        <f>-387+180</f>
        <v>-207</v>
      </c>
      <c r="J20" s="1">
        <f>-445+188</f>
        <v>-257</v>
      </c>
      <c r="K20" s="1">
        <f>-391+185</f>
        <v>-206</v>
      </c>
      <c r="N20" s="1">
        <f>-1437+370</f>
        <v>-1067</v>
      </c>
      <c r="O20" s="1">
        <f>-1597+276</f>
        <v>-1321</v>
      </c>
      <c r="P20" s="1">
        <f>-882+449</f>
        <v>-433</v>
      </c>
      <c r="Q20" s="1">
        <f>-1527+907</f>
        <v>-620</v>
      </c>
      <c r="R20" s="1">
        <f>-1656+988</f>
        <v>-668</v>
      </c>
      <c r="W20" s="10"/>
      <c r="X20" s="10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x14ac:dyDescent="0.3">
      <c r="A21" s="9"/>
      <c r="B21" s="9"/>
      <c r="C21" t="s">
        <v>61</v>
      </c>
      <c r="E21" s="1">
        <f>1513+354</f>
        <v>1867</v>
      </c>
      <c r="F21" s="1">
        <f>537+2</f>
        <v>539</v>
      </c>
      <c r="G21" s="1">
        <f>541+491</f>
        <v>1032</v>
      </c>
      <c r="H21" s="1">
        <f>3762-3438</f>
        <v>324</v>
      </c>
      <c r="I21" s="1">
        <f>351+254</f>
        <v>605</v>
      </c>
      <c r="J21" s="1">
        <f>561+212</f>
        <v>773</v>
      </c>
      <c r="K21" s="1">
        <f>644-237</f>
        <v>407</v>
      </c>
      <c r="N21" s="1">
        <f>978+841</f>
        <v>1819</v>
      </c>
      <c r="O21" s="1">
        <f>3438</f>
        <v>3438</v>
      </c>
      <c r="P21" s="1">
        <f>1472-262</f>
        <v>1210</v>
      </c>
      <c r="Q21" s="1">
        <f>1691+570</f>
        <v>2261</v>
      </c>
      <c r="R21" s="1">
        <f>1770+1992</f>
        <v>3762</v>
      </c>
      <c r="W21" s="10"/>
      <c r="X21" s="10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1:44" x14ac:dyDescent="0.3">
      <c r="A22" s="9"/>
      <c r="B22" s="9"/>
      <c r="C22" t="s">
        <v>24</v>
      </c>
      <c r="E22" s="1">
        <f>E19+E20+E21</f>
        <v>3872</v>
      </c>
      <c r="F22" s="1">
        <f>F19+F20+F21</f>
        <v>3028</v>
      </c>
      <c r="G22" s="1">
        <f t="shared" ref="G22:J22" si="8">G19+G20+G21</f>
        <v>3380</v>
      </c>
      <c r="H22" s="1">
        <f t="shared" si="8"/>
        <v>2806</v>
      </c>
      <c r="I22" s="1">
        <f t="shared" si="8"/>
        <v>4057</v>
      </c>
      <c r="J22" s="1">
        <f t="shared" si="8"/>
        <v>4796</v>
      </c>
      <c r="K22" s="1">
        <f>K19+K20+K21</f>
        <v>4183</v>
      </c>
      <c r="N22" s="1">
        <f t="shared" ref="N22:R22" si="9">N19+N20+N21</f>
        <v>9749</v>
      </c>
      <c r="O22" s="1">
        <f t="shared" si="9"/>
        <v>12425</v>
      </c>
      <c r="P22" s="1">
        <f t="shared" si="9"/>
        <v>11686</v>
      </c>
      <c r="Q22" s="1">
        <f t="shared" si="9"/>
        <v>12952</v>
      </c>
      <c r="R22" s="1">
        <f t="shared" si="9"/>
        <v>13086</v>
      </c>
      <c r="W22" s="10"/>
      <c r="X22" s="10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x14ac:dyDescent="0.3">
      <c r="A23" s="9"/>
      <c r="B23" s="9"/>
      <c r="C23" t="s">
        <v>25</v>
      </c>
      <c r="E23" s="1">
        <f>687</f>
        <v>687</v>
      </c>
      <c r="F23" s="1">
        <v>627</v>
      </c>
      <c r="G23" s="1">
        <f>530</f>
        <v>530</v>
      </c>
      <c r="H23" s="1">
        <f>2437-1844</f>
        <v>593</v>
      </c>
      <c r="I23" s="1">
        <v>722</v>
      </c>
      <c r="J23" s="1">
        <v>993</v>
      </c>
      <c r="K23" s="1">
        <v>500</v>
      </c>
      <c r="N23" s="1">
        <f>1981</f>
        <v>1981</v>
      </c>
      <c r="O23" s="1">
        <f>2621</f>
        <v>2621</v>
      </c>
      <c r="P23" s="1">
        <v>2115</v>
      </c>
      <c r="Q23" s="1">
        <v>2249</v>
      </c>
      <c r="R23" s="1">
        <v>2437</v>
      </c>
      <c r="W23" s="10"/>
      <c r="X23" s="10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x14ac:dyDescent="0.3">
      <c r="A24" s="9"/>
      <c r="B24" s="9"/>
      <c r="C24" t="s">
        <v>26</v>
      </c>
      <c r="E24" s="6">
        <f t="shared" ref="E24:K24" si="10">E22-E23</f>
        <v>3185</v>
      </c>
      <c r="F24" s="6">
        <f t="shared" si="10"/>
        <v>2401</v>
      </c>
      <c r="G24" s="6">
        <f t="shared" si="10"/>
        <v>2850</v>
      </c>
      <c r="H24" s="6">
        <f t="shared" si="10"/>
        <v>2213</v>
      </c>
      <c r="I24" s="6">
        <f t="shared" si="10"/>
        <v>3335</v>
      </c>
      <c r="J24" s="6">
        <f t="shared" si="10"/>
        <v>3803</v>
      </c>
      <c r="K24" s="6">
        <f t="shared" si="10"/>
        <v>3683</v>
      </c>
      <c r="N24" s="6">
        <f t="shared" ref="N24:Q24" si="11">N22-N23</f>
        <v>7768</v>
      </c>
      <c r="O24" s="6">
        <f t="shared" si="11"/>
        <v>9804</v>
      </c>
      <c r="P24" s="6">
        <f t="shared" si="11"/>
        <v>9571</v>
      </c>
      <c r="Q24" s="6">
        <f t="shared" si="11"/>
        <v>10703</v>
      </c>
      <c r="R24" s="6">
        <f>R22-R23</f>
        <v>10649</v>
      </c>
      <c r="W24" s="10"/>
      <c r="X24" s="10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x14ac:dyDescent="0.3">
      <c r="A25" s="9"/>
      <c r="B25" s="9"/>
      <c r="C25" t="s">
        <v>27</v>
      </c>
      <c r="E25" s="3">
        <f t="shared" ref="E25" si="12">E24/E26</f>
        <v>0.7369273484497918</v>
      </c>
      <c r="F25" s="3">
        <f t="shared" ref="F25:J25" si="13">F24/F26</f>
        <v>0.55591572123176658</v>
      </c>
      <c r="G25" s="3">
        <f t="shared" si="13"/>
        <v>0.65926439972241502</v>
      </c>
      <c r="H25" s="3">
        <f t="shared" ref="H25" si="14">H24/H26</f>
        <v>0.51226851851851851</v>
      </c>
      <c r="I25" s="3">
        <f t="shared" si="13"/>
        <v>0.77324368189195458</v>
      </c>
      <c r="J25" s="3">
        <f t="shared" si="13"/>
        <v>0.88134414831981456</v>
      </c>
      <c r="K25" s="3">
        <f>K24/K26</f>
        <v>0.85392997913285418</v>
      </c>
      <c r="N25" s="3">
        <f t="shared" ref="N25:O25" si="15">N24/N26</f>
        <v>1.7969003007170945</v>
      </c>
      <c r="O25" s="3">
        <f t="shared" si="15"/>
        <v>2.2589861751152074</v>
      </c>
      <c r="P25" s="3">
        <f t="shared" ref="P25:Q25" si="16">P24/P26</f>
        <v>2.2002298850574711</v>
      </c>
      <c r="Q25" s="3">
        <f t="shared" si="16"/>
        <v>2.466697395713298</v>
      </c>
      <c r="R25" s="3">
        <f>R24/R26</f>
        <v>2.4650462962962965</v>
      </c>
      <c r="W25" s="10"/>
      <c r="X25" s="10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x14ac:dyDescent="0.3">
      <c r="A26" s="9"/>
      <c r="B26" s="9"/>
      <c r="C26" t="s">
        <v>28</v>
      </c>
      <c r="E26" s="1">
        <v>4322</v>
      </c>
      <c r="F26" s="1">
        <v>4319</v>
      </c>
      <c r="G26" s="1">
        <v>4323</v>
      </c>
      <c r="H26" s="1">
        <v>4320</v>
      </c>
      <c r="I26" s="1">
        <v>4313</v>
      </c>
      <c r="J26" s="1">
        <v>4315</v>
      </c>
      <c r="K26" s="1">
        <v>4313</v>
      </c>
      <c r="N26" s="1">
        <v>4323</v>
      </c>
      <c r="O26" s="1">
        <v>4340</v>
      </c>
      <c r="P26" s="1">
        <v>4350</v>
      </c>
      <c r="Q26" s="1">
        <v>4339</v>
      </c>
      <c r="R26" s="1">
        <v>4320</v>
      </c>
      <c r="W26" s="10"/>
      <c r="X26" s="10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x14ac:dyDescent="0.3">
      <c r="A27" s="9"/>
      <c r="B27" s="9"/>
      <c r="E27" s="6"/>
      <c r="F27" s="6"/>
      <c r="G27" s="6"/>
      <c r="H27" s="6"/>
      <c r="I27" s="6"/>
      <c r="J27" s="6"/>
      <c r="K27" s="6"/>
      <c r="N27" s="1"/>
      <c r="O27" s="1"/>
      <c r="P27" s="1"/>
      <c r="Q27" s="1"/>
      <c r="R27" s="1"/>
      <c r="W27" s="10"/>
      <c r="X27" s="10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4" x14ac:dyDescent="0.3">
      <c r="A28" s="9"/>
      <c r="B28" s="9"/>
      <c r="P28" s="1"/>
      <c r="Q28" s="1"/>
      <c r="R28" s="1"/>
      <c r="W28" s="10"/>
      <c r="X28" s="10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1:44" x14ac:dyDescent="0.3">
      <c r="A29" s="9"/>
      <c r="B29" s="9"/>
      <c r="C29" t="s">
        <v>29</v>
      </c>
      <c r="F29" s="4">
        <f t="shared" ref="F29" si="17">F13/E13-1</f>
        <v>9.407079646017702E-2</v>
      </c>
      <c r="G29" s="4">
        <f>G13/F13-1</f>
        <v>-4.1171236754832918E-2</v>
      </c>
      <c r="H29" s="4">
        <f>H13/G13-1</f>
        <v>-2.6151510038805448E-2</v>
      </c>
      <c r="I29" s="4">
        <f t="shared" ref="I29" si="18">I13/H13-1</f>
        <v>-3.5949410949410954E-2</v>
      </c>
      <c r="J29" s="4">
        <f>J13/I13-1</f>
        <v>0.12633659807709585</v>
      </c>
      <c r="K29" s="4">
        <f>K13/J13-1</f>
        <v>-6.3821300358994915E-3</v>
      </c>
      <c r="L29" s="4"/>
      <c r="M29" s="4"/>
      <c r="N29" s="4"/>
      <c r="O29" s="4"/>
      <c r="P29" s="4"/>
      <c r="Q29" s="4"/>
      <c r="R29" s="4"/>
      <c r="W29" s="10"/>
      <c r="X29" s="10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4" x14ac:dyDescent="0.3">
      <c r="A30" s="9"/>
      <c r="B30" s="9"/>
      <c r="C30" t="s">
        <v>30</v>
      </c>
      <c r="G30" s="4"/>
      <c r="H30" s="4"/>
      <c r="I30" s="4"/>
      <c r="J30" s="4"/>
      <c r="K30" s="4"/>
      <c r="L30" s="4"/>
      <c r="M30" s="4"/>
      <c r="N30" s="4">
        <f t="shared" ref="N30" si="19">N13/M13-1</f>
        <v>-0.11409864219395693</v>
      </c>
      <c r="O30" s="4">
        <f t="shared" ref="O30" si="20">O13/N13-1</f>
        <v>0.17086690494941537</v>
      </c>
      <c r="P30" s="4">
        <f t="shared" ref="P30:Q30" si="21">P13/O13-1</f>
        <v>0.11250808433579107</v>
      </c>
      <c r="Q30" s="4">
        <f t="shared" si="21"/>
        <v>6.3947539763743011E-2</v>
      </c>
      <c r="R30" s="4">
        <f>R13/Q13-1</f>
        <v>2.8565808453905772E-2</v>
      </c>
      <c r="W30" s="10"/>
      <c r="X30" s="10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1:44" x14ac:dyDescent="0.3">
      <c r="A31" s="9"/>
      <c r="B31" s="9"/>
      <c r="C31" t="s">
        <v>31</v>
      </c>
      <c r="E31" s="5">
        <f t="shared" ref="E31:J31" si="22">E15/E13</f>
        <v>0.62522123893805315</v>
      </c>
      <c r="F31" s="5">
        <f t="shared" si="22"/>
        <v>0.61077408396020383</v>
      </c>
      <c r="G31" s="5">
        <f t="shared" si="22"/>
        <v>0.60654631348068166</v>
      </c>
      <c r="H31" s="5">
        <f t="shared" si="22"/>
        <v>0.60039847539847535</v>
      </c>
      <c r="I31" s="5">
        <f t="shared" si="22"/>
        <v>0.62593224907898282</v>
      </c>
      <c r="J31" s="5">
        <f t="shared" si="22"/>
        <v>0.62393298763462302</v>
      </c>
      <c r="K31" s="5">
        <f>K15/K13</f>
        <v>0.61485347250100364</v>
      </c>
      <c r="L31" s="5"/>
      <c r="M31" s="5"/>
      <c r="N31" s="5">
        <f t="shared" ref="N31:O31" si="23">N15/N13</f>
        <v>0.59311201308535777</v>
      </c>
      <c r="O31" s="5">
        <f t="shared" si="23"/>
        <v>0.60271633682576642</v>
      </c>
      <c r="P31" s="5">
        <f>P15/P13</f>
        <v>0.58143428518277374</v>
      </c>
      <c r="Q31" s="5">
        <f>Q15/Q13</f>
        <v>0.5952266468505486</v>
      </c>
      <c r="R31" s="5">
        <f>R15/R13</f>
        <v>0.61063300822336963</v>
      </c>
      <c r="W31" s="10"/>
      <c r="X31" s="10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x14ac:dyDescent="0.3">
      <c r="A32" s="9"/>
      <c r="B32" s="9"/>
      <c r="C32" t="s">
        <v>32</v>
      </c>
      <c r="E32" s="5">
        <f t="shared" ref="E32:J32" si="24">E19/E13</f>
        <v>0.18946902654867256</v>
      </c>
      <c r="F32" s="5">
        <f t="shared" si="24"/>
        <v>0.21289331068510881</v>
      </c>
      <c r="G32" s="5">
        <f t="shared" si="24"/>
        <v>0.21174287160452168</v>
      </c>
      <c r="H32" s="5">
        <f t="shared" si="24"/>
        <v>0.23466735966735966</v>
      </c>
      <c r="I32" s="5">
        <f t="shared" si="24"/>
        <v>0.32878066313235693</v>
      </c>
      <c r="J32" s="5">
        <f t="shared" si="24"/>
        <v>0.34144395692062224</v>
      </c>
      <c r="K32" s="5">
        <f>K19/K13</f>
        <v>0.31971095945403455</v>
      </c>
      <c r="L32" s="5"/>
      <c r="M32" s="5"/>
      <c r="N32" s="5">
        <f t="shared" ref="N32:O32" si="25">N19/N13</f>
        <v>0.27252074877324772</v>
      </c>
      <c r="O32" s="5">
        <f t="shared" si="25"/>
        <v>0.26666666666666666</v>
      </c>
      <c r="P32" s="5">
        <f t="shared" ref="P32:R32" si="26">P19/P13</f>
        <v>0.25367407683006232</v>
      </c>
      <c r="Q32" s="5">
        <f t="shared" si="26"/>
        <v>0.24721335839489444</v>
      </c>
      <c r="R32" s="5">
        <f t="shared" si="26"/>
        <v>0.21232018019166612</v>
      </c>
      <c r="W32" s="10"/>
      <c r="X32" s="10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x14ac:dyDescent="0.3">
      <c r="A33" s="9"/>
      <c r="B33" s="9"/>
      <c r="W33" s="10"/>
      <c r="X33" s="10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x14ac:dyDescent="0.3">
      <c r="A34" s="7" t="s">
        <v>33</v>
      </c>
      <c r="B34" s="8"/>
      <c r="C34" t="s">
        <v>4</v>
      </c>
      <c r="E34" s="1">
        <f>15203+1716</f>
        <v>16919</v>
      </c>
      <c r="F34" s="1">
        <f>17399+1594</f>
        <v>18993</v>
      </c>
      <c r="G34" s="1">
        <f>16377+1787</f>
        <v>18164</v>
      </c>
      <c r="H34" s="1">
        <f>12848+1723</f>
        <v>14571</v>
      </c>
      <c r="I34" s="1">
        <f>11996+1791</f>
        <v>13787</v>
      </c>
      <c r="J34" s="1">
        <f>12248+2049</f>
        <v>14297</v>
      </c>
      <c r="K34" s="1">
        <f>13874+1907</f>
        <v>15781</v>
      </c>
      <c r="L34" s="1"/>
      <c r="M34" s="1"/>
      <c r="N34" s="1">
        <f>8566+2348</f>
        <v>10914</v>
      </c>
      <c r="O34" s="1">
        <f>10926+1699</f>
        <v>12625</v>
      </c>
      <c r="P34" s="1">
        <f>10562+1069</f>
        <v>11631</v>
      </c>
      <c r="Q34" s="1">
        <f>12363+1300</f>
        <v>13663</v>
      </c>
      <c r="R34" s="1">
        <f>12848+1723</f>
        <v>14571</v>
      </c>
      <c r="W34" s="10"/>
      <c r="X34" s="10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x14ac:dyDescent="0.3">
      <c r="A35" t="s">
        <v>34</v>
      </c>
      <c r="B35" s="9"/>
      <c r="C35" t="s">
        <v>35</v>
      </c>
      <c r="E35" s="1">
        <f>4244</f>
        <v>4244</v>
      </c>
      <c r="F35" s="1">
        <f>4545</f>
        <v>4545</v>
      </c>
      <c r="G35" s="1">
        <v>4233</v>
      </c>
      <c r="H35" s="1">
        <v>3569</v>
      </c>
      <c r="I35" s="1">
        <v>4091</v>
      </c>
      <c r="J35" s="1">
        <v>4168</v>
      </c>
      <c r="K35" s="1">
        <v>3946</v>
      </c>
      <c r="L35" s="1"/>
      <c r="M35" s="1"/>
      <c r="N35" s="1">
        <v>3144</v>
      </c>
      <c r="O35" s="1">
        <v>3512</v>
      </c>
      <c r="P35" s="1">
        <v>3487</v>
      </c>
      <c r="Q35" s="1">
        <v>3410</v>
      </c>
      <c r="R35" s="1">
        <v>3569</v>
      </c>
      <c r="W35" s="10"/>
      <c r="X35" s="10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x14ac:dyDescent="0.3">
      <c r="A36" s="9"/>
      <c r="B36" s="9"/>
      <c r="C36" t="s">
        <v>36</v>
      </c>
      <c r="E36" s="1">
        <f>4961</f>
        <v>4961</v>
      </c>
      <c r="F36" s="1">
        <f>4763</f>
        <v>4763</v>
      </c>
      <c r="G36" s="1">
        <v>4714</v>
      </c>
      <c r="H36" s="1">
        <v>4728</v>
      </c>
      <c r="I36" s="1">
        <v>5102</v>
      </c>
      <c r="J36" s="1">
        <v>5082</v>
      </c>
      <c r="K36" s="1">
        <v>4802</v>
      </c>
      <c r="L36" s="1"/>
      <c r="M36" s="1"/>
      <c r="N36" s="1">
        <v>3266</v>
      </c>
      <c r="O36" s="1">
        <v>3414</v>
      </c>
      <c r="P36" s="1">
        <v>4233</v>
      </c>
      <c r="Q36" s="1">
        <v>4424</v>
      </c>
      <c r="R36" s="1">
        <v>4728</v>
      </c>
      <c r="W36" s="10"/>
      <c r="X36" s="10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x14ac:dyDescent="0.3">
      <c r="A37" s="9"/>
      <c r="B37" s="9"/>
      <c r="C37" t="s">
        <v>37</v>
      </c>
      <c r="E37" s="1">
        <f>3338</f>
        <v>3338</v>
      </c>
      <c r="F37" s="1">
        <f>3298</f>
        <v>3298</v>
      </c>
      <c r="G37" s="1">
        <v>3177</v>
      </c>
      <c r="H37" s="1">
        <v>3129</v>
      </c>
      <c r="I37" s="1">
        <v>3198</v>
      </c>
      <c r="J37" s="1">
        <v>3062</v>
      </c>
      <c r="K37" s="1">
        <v>2718</v>
      </c>
      <c r="L37" s="1"/>
      <c r="M37" s="1"/>
      <c r="N37" s="1">
        <v>1916</v>
      </c>
      <c r="O37" s="1">
        <v>2994</v>
      </c>
      <c r="P37" s="1">
        <v>3240</v>
      </c>
      <c r="Q37" s="1">
        <v>5235</v>
      </c>
      <c r="R37" s="1">
        <v>3129</v>
      </c>
      <c r="W37" s="10"/>
      <c r="X37" s="10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x14ac:dyDescent="0.3">
      <c r="A38" s="9"/>
      <c r="B38" s="9"/>
      <c r="C38" s="14" t="s">
        <v>70</v>
      </c>
      <c r="E38" s="21">
        <f>SUM(E34:E37)</f>
        <v>29462</v>
      </c>
      <c r="F38" s="21">
        <f>SUM(F34:F37)</f>
        <v>31599</v>
      </c>
      <c r="G38" s="21">
        <f>SUM(G34:G37)</f>
        <v>30288</v>
      </c>
      <c r="H38" s="21">
        <f>SUM(H37,H36,H35,H34)</f>
        <v>25997</v>
      </c>
      <c r="I38" s="21">
        <f>SUM(I37,I36,I35,I34)</f>
        <v>26178</v>
      </c>
      <c r="J38" s="21">
        <f>SUM(J37,J36,J35,J34)</f>
        <v>26609</v>
      </c>
      <c r="K38" s="21">
        <f>SUM(K37,K36,K35,K34)</f>
        <v>27247</v>
      </c>
      <c r="L38" s="1"/>
      <c r="M38" s="1"/>
      <c r="N38" s="21">
        <f>SUM(N34:N37)</f>
        <v>19240</v>
      </c>
      <c r="O38" s="21">
        <f>SUM(O34:O37)</f>
        <v>22545</v>
      </c>
      <c r="P38" s="21">
        <f>SUM(P34:P37)</f>
        <v>22591</v>
      </c>
      <c r="Q38" s="21">
        <f>SUM(Q37,Q36,Q35,Q34)</f>
        <v>26732</v>
      </c>
      <c r="R38" s="21">
        <f>SUM(R37,R36,R35,R34)</f>
        <v>25997</v>
      </c>
      <c r="W38" s="10"/>
      <c r="X38" s="10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x14ac:dyDescent="0.3">
      <c r="A39" s="9"/>
      <c r="B39" s="9"/>
      <c r="C39" t="s">
        <v>68</v>
      </c>
      <c r="E39" s="1">
        <f>19495+147+7291</f>
        <v>26933</v>
      </c>
      <c r="F39" s="1">
        <f>18940+167+7274</f>
        <v>26381</v>
      </c>
      <c r="G39" s="1">
        <f>18993+44+12904</f>
        <v>31941</v>
      </c>
      <c r="H39" s="1">
        <f>18087</f>
        <v>18087</v>
      </c>
      <c r="I39" s="1">
        <v>18369</v>
      </c>
      <c r="J39" s="1">
        <v>19379</v>
      </c>
      <c r="K39" s="1">
        <v>20323</v>
      </c>
      <c r="L39" s="1"/>
      <c r="M39" s="1"/>
      <c r="N39" s="1">
        <f>6184+812+19273</f>
        <v>26269</v>
      </c>
      <c r="O39" s="1">
        <f>17598+818+6731</f>
        <v>25147</v>
      </c>
      <c r="P39" s="1">
        <f>18264+501+6189</f>
        <v>24954</v>
      </c>
      <c r="Q39" s="1">
        <f>19671+118+7162</f>
        <v>26951</v>
      </c>
      <c r="R39" s="1">
        <v>18087</v>
      </c>
      <c r="W39" s="10"/>
      <c r="X39" s="10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x14ac:dyDescent="0.3">
      <c r="A40" s="9"/>
      <c r="B40" s="9"/>
      <c r="C40" t="s">
        <v>25</v>
      </c>
      <c r="E40" s="1">
        <v>1457</v>
      </c>
      <c r="F40" s="1">
        <f>1409</f>
        <v>1409</v>
      </c>
      <c r="G40" s="1">
        <f>1428</f>
        <v>1428</v>
      </c>
      <c r="H40" s="1">
        <f>1319</f>
        <v>1319</v>
      </c>
      <c r="I40" s="1">
        <v>1311</v>
      </c>
      <c r="J40" s="1">
        <v>1325</v>
      </c>
      <c r="K40" s="1">
        <v>1267</v>
      </c>
      <c r="L40" s="1"/>
      <c r="M40" s="1"/>
      <c r="N40" s="1">
        <v>2460</v>
      </c>
      <c r="O40" s="1">
        <v>2129</v>
      </c>
      <c r="P40" s="1">
        <v>1746</v>
      </c>
      <c r="Q40" s="1">
        <v>1561</v>
      </c>
      <c r="R40" s="1">
        <v>1319</v>
      </c>
      <c r="W40" s="10"/>
      <c r="X40" s="10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x14ac:dyDescent="0.3">
      <c r="A41" s="9"/>
      <c r="B41" s="9"/>
      <c r="C41" t="s">
        <v>38</v>
      </c>
      <c r="E41" s="1">
        <v>9306</v>
      </c>
      <c r="F41" s="1">
        <f>9508</f>
        <v>9508</v>
      </c>
      <c r="G41" s="1">
        <f>9864</f>
        <v>9864</v>
      </c>
      <c r="H41" s="1">
        <f>10303</f>
        <v>10303</v>
      </c>
      <c r="I41" s="1">
        <v>10431</v>
      </c>
      <c r="J41" s="1">
        <v>10784</v>
      </c>
      <c r="K41" s="1">
        <v>10902</v>
      </c>
      <c r="L41" s="1"/>
      <c r="M41" s="1"/>
      <c r="N41" s="1">
        <v>10777</v>
      </c>
      <c r="O41" s="1">
        <v>9920</v>
      </c>
      <c r="P41" s="1">
        <v>9841</v>
      </c>
      <c r="Q41" s="1">
        <v>9236</v>
      </c>
      <c r="R41" s="1">
        <v>10303</v>
      </c>
      <c r="W41" s="10"/>
      <c r="X41" s="10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x14ac:dyDescent="0.3">
      <c r="A42" s="9"/>
      <c r="B42" s="9"/>
      <c r="C42" t="s">
        <v>69</v>
      </c>
      <c r="E42" s="1">
        <v>13532</v>
      </c>
      <c r="F42" s="1">
        <f>13510</f>
        <v>13510</v>
      </c>
      <c r="G42" s="1">
        <f>13598</f>
        <v>13598</v>
      </c>
      <c r="H42" s="1">
        <f>13301</f>
        <v>13301</v>
      </c>
      <c r="I42" s="1">
        <v>13425</v>
      </c>
      <c r="J42" s="1">
        <v>13615</v>
      </c>
      <c r="K42" s="1">
        <v>13515</v>
      </c>
      <c r="L42" s="1"/>
      <c r="M42" s="1"/>
      <c r="N42" s="1">
        <v>10395</v>
      </c>
      <c r="O42" s="1">
        <v>14465</v>
      </c>
      <c r="P42" s="1">
        <v>14214</v>
      </c>
      <c r="Q42" s="1">
        <v>14349</v>
      </c>
      <c r="R42" s="1">
        <v>13301</v>
      </c>
      <c r="W42" s="10"/>
      <c r="X42" s="10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x14ac:dyDescent="0.3">
      <c r="A43" s="9"/>
      <c r="B43" s="9"/>
      <c r="C43" t="s">
        <v>39</v>
      </c>
      <c r="E43" s="1">
        <f>18210+492</f>
        <v>18702</v>
      </c>
      <c r="F43" s="1">
        <f>18324+471</f>
        <v>18795</v>
      </c>
      <c r="G43" s="1">
        <f>18686+461</f>
        <v>19147</v>
      </c>
      <c r="H43" s="1">
        <f>18139+13403</f>
        <v>31542</v>
      </c>
      <c r="I43" s="1">
        <f>18333+13669</f>
        <v>32002</v>
      </c>
      <c r="J43" s="1">
        <f>18663+13958</f>
        <v>32621</v>
      </c>
      <c r="K43" s="1">
        <f>18662+14129</f>
        <v>32791</v>
      </c>
      <c r="L43" s="1"/>
      <c r="M43" s="1"/>
      <c r="N43" s="1">
        <f>17506+649</f>
        <v>18155</v>
      </c>
      <c r="O43" s="1">
        <f>19363+785</f>
        <v>20148</v>
      </c>
      <c r="P43" s="1">
        <f>18782+635</f>
        <v>19417</v>
      </c>
      <c r="Q43" s="1">
        <f>18358+516</f>
        <v>18874</v>
      </c>
      <c r="R43" s="1">
        <f>18139+13403</f>
        <v>31542</v>
      </c>
      <c r="W43" s="10"/>
      <c r="X43" s="10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x14ac:dyDescent="0.3">
      <c r="A44" s="9"/>
      <c r="B44" s="9"/>
      <c r="C44" t="s">
        <v>34</v>
      </c>
      <c r="E44" s="6">
        <f t="shared" ref="E44:K44" si="27">SUM(E38,E39,E40,E41,E42,E43)</f>
        <v>99392</v>
      </c>
      <c r="F44" s="6">
        <f t="shared" si="27"/>
        <v>101202</v>
      </c>
      <c r="G44" s="6">
        <f t="shared" si="27"/>
        <v>106266</v>
      </c>
      <c r="H44" s="6">
        <f t="shared" si="27"/>
        <v>100549</v>
      </c>
      <c r="I44" s="6">
        <f t="shared" si="27"/>
        <v>101716</v>
      </c>
      <c r="J44" s="6">
        <f t="shared" si="27"/>
        <v>104333</v>
      </c>
      <c r="K44" s="6">
        <f t="shared" si="27"/>
        <v>106045</v>
      </c>
      <c r="L44" s="1"/>
      <c r="M44" s="1"/>
      <c r="N44" s="6">
        <f>SUM(N38,N39,N40,N41,N42,N43)</f>
        <v>87296</v>
      </c>
      <c r="O44" s="6">
        <f>SUM(O38,O39,O40,O41,O42,O43)</f>
        <v>94354</v>
      </c>
      <c r="P44" s="6">
        <f>SUM(P38,P39,P40,P41,P42,P43)</f>
        <v>92763</v>
      </c>
      <c r="Q44" s="6">
        <f>SUM(Q38,Q39,Q40,Q41,Q42,Q43)</f>
        <v>97703</v>
      </c>
      <c r="R44" s="6">
        <f>SUM(R38,R39,R40,R41,R42,R43)</f>
        <v>100549</v>
      </c>
      <c r="W44" s="10"/>
      <c r="X44" s="10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x14ac:dyDescent="0.3">
      <c r="A45" s="9"/>
      <c r="B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W45" s="10"/>
      <c r="X45" s="10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x14ac:dyDescent="0.3">
      <c r="A46" s="9"/>
      <c r="B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W46" s="10"/>
      <c r="X46" s="10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x14ac:dyDescent="0.3">
      <c r="A47" t="s">
        <v>40</v>
      </c>
      <c r="C47" t="s">
        <v>41</v>
      </c>
      <c r="E47" s="1">
        <v>19425</v>
      </c>
      <c r="F47" s="1">
        <v>21909</v>
      </c>
      <c r="G47" s="1">
        <v>23820</v>
      </c>
      <c r="H47" s="1">
        <v>21715</v>
      </c>
      <c r="I47" s="1">
        <v>16499</v>
      </c>
      <c r="J47" s="1">
        <v>17030</v>
      </c>
      <c r="K47" s="1">
        <v>17692</v>
      </c>
      <c r="L47" s="1"/>
      <c r="M47" s="1"/>
      <c r="N47" s="1">
        <v>11145</v>
      </c>
      <c r="O47" s="1">
        <v>14619</v>
      </c>
      <c r="P47" s="1">
        <v>15749</v>
      </c>
      <c r="Q47" s="1">
        <v>15485</v>
      </c>
      <c r="R47" s="1">
        <v>21715</v>
      </c>
      <c r="W47" s="10"/>
      <c r="X47" s="10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x14ac:dyDescent="0.3">
      <c r="A48" s="9"/>
      <c r="B48" s="9"/>
      <c r="C48" t="s">
        <v>54</v>
      </c>
      <c r="E48" s="1">
        <v>6054</v>
      </c>
      <c r="F48" s="1">
        <v>3793</v>
      </c>
      <c r="G48" s="1">
        <v>2203</v>
      </c>
      <c r="H48" s="1">
        <v>1499</v>
      </c>
      <c r="I48" s="1">
        <v>5418</v>
      </c>
      <c r="J48" s="1">
        <v>4379</v>
      </c>
      <c r="K48" s="1">
        <v>2319</v>
      </c>
      <c r="L48" s="1"/>
      <c r="M48" s="1"/>
      <c r="N48" s="1">
        <v>2183</v>
      </c>
      <c r="O48" s="1">
        <v>3307</v>
      </c>
      <c r="P48" s="1">
        <v>2373</v>
      </c>
      <c r="Q48" s="1">
        <v>4557</v>
      </c>
      <c r="R48" s="1">
        <v>1499</v>
      </c>
      <c r="W48" s="10"/>
      <c r="X48" s="10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x14ac:dyDescent="0.3">
      <c r="A49" s="9"/>
      <c r="B49" s="9"/>
      <c r="C49" t="s">
        <v>44</v>
      </c>
      <c r="E49" s="1">
        <f>1485+2521</f>
        <v>4006</v>
      </c>
      <c r="F49" s="1">
        <f>1622+2366</f>
        <v>3988</v>
      </c>
      <c r="G49" s="1">
        <f>1479+2292</f>
        <v>3771</v>
      </c>
      <c r="H49" s="1">
        <f>1387+2469</f>
        <v>3856</v>
      </c>
      <c r="I49" s="1">
        <f>1728+2311</f>
        <v>4039</v>
      </c>
      <c r="J49" s="1">
        <f>444+2375</f>
        <v>2819</v>
      </c>
      <c r="K49" s="1">
        <v>568</v>
      </c>
      <c r="L49" s="1"/>
      <c r="M49" s="1"/>
      <c r="N49" s="1">
        <f>788+1833</f>
        <v>2621</v>
      </c>
      <c r="O49" s="1">
        <f>686+2821</f>
        <v>3507</v>
      </c>
      <c r="P49" s="1">
        <f>1203+2914</f>
        <v>4117</v>
      </c>
      <c r="Q49" s="1">
        <v>1569</v>
      </c>
      <c r="R49" s="1">
        <v>1387</v>
      </c>
      <c r="W49" s="10"/>
      <c r="X49" s="10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x14ac:dyDescent="0.3">
      <c r="A50" s="9"/>
      <c r="B50" s="9"/>
      <c r="C50" t="s">
        <v>5</v>
      </c>
      <c r="E50" s="1">
        <f>1392+35104+5465</f>
        <v>41961</v>
      </c>
      <c r="F50" s="1">
        <f>1939+38085+4077</f>
        <v>44101</v>
      </c>
      <c r="G50" s="1">
        <f>1067+42994+4257</f>
        <v>48318</v>
      </c>
      <c r="H50" s="1">
        <f>648+42375+4084</f>
        <v>47107</v>
      </c>
      <c r="I50" s="1">
        <f>163+43530+4313</f>
        <v>48006</v>
      </c>
      <c r="J50" s="1">
        <f>91+44976+4856</f>
        <v>49923</v>
      </c>
      <c r="K50" s="1">
        <f>1920+43177+4667+2435</f>
        <v>52199</v>
      </c>
      <c r="L50" s="1"/>
      <c r="M50" s="1"/>
      <c r="N50" s="1">
        <f>485+40125+9453</f>
        <v>50063</v>
      </c>
      <c r="O50" s="1">
        <f>1338+38116+8607</f>
        <v>48061</v>
      </c>
      <c r="P50" s="1">
        <f>399+36377+7922</f>
        <v>44698</v>
      </c>
      <c r="Q50" s="1">
        <f>1960+35547+8466+2639</f>
        <v>48612</v>
      </c>
      <c r="R50" s="1">
        <f>648+42375+4084+2469</f>
        <v>49576</v>
      </c>
      <c r="W50" s="10"/>
      <c r="X50" s="10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x14ac:dyDescent="0.3">
      <c r="A51" s="9"/>
      <c r="B51" s="9"/>
      <c r="C51" t="s">
        <v>42</v>
      </c>
      <c r="E51" s="1">
        <v>27946</v>
      </c>
      <c r="F51" s="1">
        <v>27411</v>
      </c>
      <c r="G51" s="1">
        <f>28154</f>
        <v>28154</v>
      </c>
      <c r="H51" s="1">
        <v>26372</v>
      </c>
      <c r="I51" s="1">
        <v>27754</v>
      </c>
      <c r="J51" s="1">
        <f>30182</f>
        <v>30182</v>
      </c>
      <c r="K51" s="1">
        <v>33267</v>
      </c>
      <c r="L51" s="1"/>
      <c r="M51" s="1"/>
      <c r="N51" s="1">
        <v>21284</v>
      </c>
      <c r="O51" s="1">
        <v>24860</v>
      </c>
      <c r="P51" s="1">
        <v>25826</v>
      </c>
      <c r="Q51" s="1">
        <v>27480</v>
      </c>
      <c r="R51" s="1">
        <v>26372</v>
      </c>
      <c r="W51" s="10"/>
      <c r="X51" s="10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x14ac:dyDescent="0.3">
      <c r="A52" s="9"/>
      <c r="B52" s="9"/>
      <c r="C52" t="s">
        <v>43</v>
      </c>
      <c r="E52" s="6">
        <f t="shared" ref="E52:K52" si="28">SUM(E47:E51)</f>
        <v>99392</v>
      </c>
      <c r="F52" s="6">
        <f t="shared" si="28"/>
        <v>101202</v>
      </c>
      <c r="G52" s="6">
        <f t="shared" si="28"/>
        <v>106266</v>
      </c>
      <c r="H52" s="6">
        <f t="shared" si="28"/>
        <v>100549</v>
      </c>
      <c r="I52" s="6">
        <f t="shared" si="28"/>
        <v>101716</v>
      </c>
      <c r="J52" s="6">
        <f t="shared" si="28"/>
        <v>104333</v>
      </c>
      <c r="K52" s="6">
        <f t="shared" si="28"/>
        <v>106045</v>
      </c>
      <c r="L52" s="1"/>
      <c r="M52" s="1"/>
      <c r="N52" s="6">
        <f>SUM(N47:N51)</f>
        <v>87296</v>
      </c>
      <c r="O52" s="6">
        <f>SUM(O47:O51)</f>
        <v>94354</v>
      </c>
      <c r="P52" s="6">
        <f>SUM(P47:P51)</f>
        <v>92763</v>
      </c>
      <c r="Q52" s="6">
        <f>SUM(Q47:Q51)</f>
        <v>97703</v>
      </c>
      <c r="R52" s="6">
        <f>SUM(R47:R51)</f>
        <v>100549</v>
      </c>
      <c r="W52" s="10"/>
      <c r="X52" s="10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x14ac:dyDescent="0.3">
      <c r="A53" s="9"/>
      <c r="B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W53" s="10"/>
      <c r="X53" s="10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x14ac:dyDescent="0.3">
      <c r="A54" s="7" t="s">
        <v>47</v>
      </c>
      <c r="B54" s="8"/>
      <c r="C54" t="s">
        <v>48</v>
      </c>
      <c r="E54" s="1">
        <v>3185</v>
      </c>
      <c r="F54" s="1">
        <v>2401</v>
      </c>
      <c r="G54" s="1">
        <f>8436-F54-E54</f>
        <v>2850</v>
      </c>
      <c r="H54" s="1">
        <v>2213</v>
      </c>
      <c r="I54" s="1">
        <v>3335</v>
      </c>
      <c r="J54" s="1">
        <v>3803</v>
      </c>
      <c r="K54" s="1">
        <v>3683</v>
      </c>
      <c r="L54" s="1"/>
      <c r="M54" s="1"/>
      <c r="N54" s="1">
        <v>7768</v>
      </c>
      <c r="O54" s="1">
        <v>9804</v>
      </c>
      <c r="P54" s="1">
        <v>9571</v>
      </c>
      <c r="Q54" s="1">
        <v>10703</v>
      </c>
      <c r="R54" s="1">
        <v>10649</v>
      </c>
      <c r="W54" s="10"/>
      <c r="X54" s="10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x14ac:dyDescent="0.3">
      <c r="A55" s="9"/>
      <c r="B55" s="9"/>
      <c r="C55" t="s">
        <v>72</v>
      </c>
      <c r="E55" s="1">
        <v>262</v>
      </c>
      <c r="F55" s="1">
        <f>531-262</f>
        <v>269</v>
      </c>
      <c r="G55" s="1">
        <f>799-F55-E55</f>
        <v>268</v>
      </c>
      <c r="H55" s="1">
        <f>1075-799</f>
        <v>276</v>
      </c>
      <c r="I55" s="1">
        <v>267</v>
      </c>
      <c r="J55" s="1">
        <f>546-267</f>
        <v>279</v>
      </c>
      <c r="K55" s="1">
        <f>814-546</f>
        <v>268</v>
      </c>
      <c r="L55" s="1"/>
      <c r="M55" s="1"/>
      <c r="N55" s="1">
        <v>1536</v>
      </c>
      <c r="O55" s="1">
        <v>1452</v>
      </c>
      <c r="P55" s="1">
        <v>1260</v>
      </c>
      <c r="Q55" s="1">
        <v>1128</v>
      </c>
      <c r="R55" s="1">
        <v>1075</v>
      </c>
      <c r="W55" s="10"/>
      <c r="X55" s="10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x14ac:dyDescent="0.3">
      <c r="A56" s="9"/>
      <c r="B56" s="9"/>
      <c r="C56" t="s">
        <v>49</v>
      </c>
      <c r="E56" s="1">
        <v>68</v>
      </c>
      <c r="F56" s="1">
        <f>140-68</f>
        <v>72</v>
      </c>
      <c r="G56" s="1">
        <f>207-F56-E56</f>
        <v>67</v>
      </c>
      <c r="H56" s="1">
        <f>286-207</f>
        <v>79</v>
      </c>
      <c r="I56" s="1">
        <v>63</v>
      </c>
      <c r="J56" s="1">
        <f>130-63</f>
        <v>67</v>
      </c>
      <c r="K56" s="1">
        <f>204-130</f>
        <v>74</v>
      </c>
      <c r="L56" s="1"/>
      <c r="M56" s="1"/>
      <c r="N56" s="1">
        <v>126</v>
      </c>
      <c r="O56" s="1">
        <v>337</v>
      </c>
      <c r="P56" s="1">
        <v>356</v>
      </c>
      <c r="Q56" s="1">
        <v>254</v>
      </c>
      <c r="R56" s="1">
        <v>286</v>
      </c>
      <c r="W56" s="10"/>
      <c r="X56" s="10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x14ac:dyDescent="0.3">
      <c r="A57" s="9"/>
      <c r="B57" s="9"/>
      <c r="C57" t="s">
        <v>50</v>
      </c>
      <c r="E57" s="1">
        <v>-173</v>
      </c>
      <c r="F57" s="1">
        <f>-202+173</f>
        <v>-29</v>
      </c>
      <c r="G57" s="1">
        <f>0+29+173</f>
        <v>202</v>
      </c>
      <c r="H57" s="1">
        <v>-11</v>
      </c>
      <c r="I57" s="1">
        <v>95</v>
      </c>
      <c r="J57" s="1">
        <f>459-95</f>
        <v>364</v>
      </c>
      <c r="K57" s="1">
        <f>496-130</f>
        <v>366</v>
      </c>
      <c r="L57" s="1"/>
      <c r="M57" s="1"/>
      <c r="N57" s="1">
        <v>-18</v>
      </c>
      <c r="O57" s="1">
        <v>894</v>
      </c>
      <c r="P57" s="1">
        <v>-122</v>
      </c>
      <c r="Q57" s="1">
        <v>-2</v>
      </c>
      <c r="R57" s="1">
        <v>-11</v>
      </c>
      <c r="W57" s="10"/>
      <c r="X57" s="10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x14ac:dyDescent="0.3">
      <c r="A58" s="9"/>
      <c r="B58" s="9"/>
      <c r="C58" t="s">
        <v>71</v>
      </c>
      <c r="E58" s="1">
        <v>-58</v>
      </c>
      <c r="F58" s="1">
        <f>-274+58</f>
        <v>-216</v>
      </c>
      <c r="G58" s="1">
        <f>-693+216+58</f>
        <v>-419</v>
      </c>
      <c r="H58" s="1">
        <f>-802+693</f>
        <v>-109</v>
      </c>
      <c r="I58" s="1">
        <f>-264</f>
        <v>-264</v>
      </c>
      <c r="J58" s="1">
        <f>-387--264</f>
        <v>-123</v>
      </c>
      <c r="K58" s="1">
        <f>-859--387</f>
        <v>-472</v>
      </c>
      <c r="L58" s="1"/>
      <c r="M58" s="1"/>
      <c r="N58" s="1">
        <f>-511</f>
        <v>-511</v>
      </c>
      <c r="O58" s="1">
        <v>-615</v>
      </c>
      <c r="P58" s="1">
        <v>-838</v>
      </c>
      <c r="Q58" s="1">
        <v>-1019</v>
      </c>
      <c r="R58" s="1">
        <f>-802</f>
        <v>-802</v>
      </c>
      <c r="W58" s="10"/>
      <c r="X58" s="10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x14ac:dyDescent="0.3">
      <c r="A59" s="9"/>
      <c r="B59" s="9"/>
      <c r="C59" t="s">
        <v>51</v>
      </c>
      <c r="E59" s="1">
        <f>17+-1401+1532-59</f>
        <v>89</v>
      </c>
      <c r="F59" s="1">
        <f>1316-89</f>
        <v>1227</v>
      </c>
      <c r="G59" s="1">
        <f>1948-F59-E59</f>
        <v>632</v>
      </c>
      <c r="H59" s="1">
        <f>1842-1948</f>
        <v>-106</v>
      </c>
      <c r="I59" s="1">
        <f>50-331+104</f>
        <v>-177</v>
      </c>
      <c r="J59" s="1">
        <f>-46+177</f>
        <v>131</v>
      </c>
      <c r="K59" s="1">
        <f>216--46</f>
        <v>262</v>
      </c>
      <c r="L59" s="1"/>
      <c r="M59" s="1"/>
      <c r="N59" s="1">
        <f>-88+-914+556+699</f>
        <v>253</v>
      </c>
      <c r="O59" s="1">
        <f>86-1365+506+201</f>
        <v>-572</v>
      </c>
      <c r="P59" s="1">
        <f>203-129+1086+236</f>
        <v>1396</v>
      </c>
      <c r="Q59" s="1">
        <f>175-492+1741-43</f>
        <v>1381</v>
      </c>
      <c r="R59" s="1">
        <f>-110+-1737+4000+-311</f>
        <v>1842</v>
      </c>
      <c r="W59" s="10"/>
      <c r="X59" s="10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x14ac:dyDescent="0.3">
      <c r="A60" s="9"/>
      <c r="B60" s="9"/>
      <c r="C60" t="s">
        <v>52</v>
      </c>
      <c r="E60" s="1">
        <v>-2845</v>
      </c>
      <c r="F60" s="1">
        <f>-2984+2845</f>
        <v>-139</v>
      </c>
      <c r="G60" s="1">
        <f>-7843+139+2845</f>
        <v>-4859</v>
      </c>
      <c r="H60" s="1">
        <f>-6234+7843</f>
        <v>1609</v>
      </c>
      <c r="I60" s="1">
        <f>-8521</f>
        <v>-8521</v>
      </c>
      <c r="J60" s="1">
        <f>-9231+8521</f>
        <v>-710</v>
      </c>
      <c r="K60" s="6">
        <f>-8040--9231</f>
        <v>1191</v>
      </c>
      <c r="L60" s="1"/>
      <c r="M60" s="1"/>
      <c r="N60" s="1">
        <v>690</v>
      </c>
      <c r="O60" s="1">
        <v>1325</v>
      </c>
      <c r="P60" s="1">
        <v>-605</v>
      </c>
      <c r="Q60" s="1">
        <f>-846</f>
        <v>-846</v>
      </c>
      <c r="R60" s="1">
        <f>-6234</f>
        <v>-6234</v>
      </c>
      <c r="W60" s="10"/>
      <c r="X60" s="10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x14ac:dyDescent="0.3">
      <c r="A61" s="9"/>
      <c r="B61" s="9"/>
      <c r="C61" t="s">
        <v>53</v>
      </c>
      <c r="E61" s="6">
        <f t="shared" ref="E61:G61" si="29">SUM(E54:E60)</f>
        <v>528</v>
      </c>
      <c r="F61" s="6">
        <f t="shared" si="29"/>
        <v>3585</v>
      </c>
      <c r="G61" s="6">
        <f t="shared" si="29"/>
        <v>-1259</v>
      </c>
      <c r="H61" s="6">
        <f t="shared" ref="H61:J61" si="30">SUM(H54:H60)</f>
        <v>3951</v>
      </c>
      <c r="I61" s="6">
        <f t="shared" si="30"/>
        <v>-5202</v>
      </c>
      <c r="J61" s="6">
        <f t="shared" si="30"/>
        <v>3811</v>
      </c>
      <c r="K61" s="6">
        <f>SUM(K54:K60)</f>
        <v>5372</v>
      </c>
      <c r="L61" s="1"/>
      <c r="M61" s="1"/>
      <c r="N61" s="6">
        <f t="shared" ref="N61:Q61" si="31">SUM(N54:N60)</f>
        <v>9844</v>
      </c>
      <c r="O61" s="6">
        <f t="shared" si="31"/>
        <v>12625</v>
      </c>
      <c r="P61" s="6">
        <f t="shared" si="31"/>
        <v>11018</v>
      </c>
      <c r="Q61" s="6">
        <f t="shared" si="31"/>
        <v>11599</v>
      </c>
      <c r="R61" s="6">
        <f>SUM(R54:R60)</f>
        <v>6805</v>
      </c>
      <c r="W61" s="10"/>
      <c r="X61" s="10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x14ac:dyDescent="0.3">
      <c r="A62" s="9"/>
      <c r="B62" s="9"/>
      <c r="G62" s="1"/>
      <c r="H62" s="1"/>
      <c r="W62" s="10"/>
      <c r="X62" s="10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x14ac:dyDescent="0.3">
      <c r="A63" s="9"/>
      <c r="B63" s="9"/>
      <c r="W63" s="10"/>
      <c r="X63" s="10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6.75" customHeight="1" x14ac:dyDescent="0.3">
      <c r="A64" s="9"/>
      <c r="B64" s="9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7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x14ac:dyDescent="0.3">
      <c r="A65" s="9"/>
      <c r="B65" s="9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9"/>
      <c r="X65" s="15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1:44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spans="1:44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1:44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1:44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1:44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spans="1:44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1:44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1:44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spans="1:44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spans="1:44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1:44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spans="1:44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spans="1:44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spans="1:44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spans="1:44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spans="1:44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spans="1:44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 spans="1:44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 spans="1:44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spans="1:44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 spans="1:44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 spans="1:44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 spans="1:44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 spans="1:44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 spans="1:44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 spans="1:44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 spans="1:44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1:44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1:44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spans="1:44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spans="1:44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 spans="1:44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 spans="1:44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 spans="1:44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 spans="1:44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 spans="1:44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 spans="1:44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 spans="1:44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 spans="1:44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 spans="1:44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 spans="1:44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1:44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spans="1:44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1:44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1:44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1:44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1:44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1:44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1:44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 spans="1:44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 spans="1:44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 spans="1:44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spans="1:44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 spans="1:44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 spans="1:44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 spans="1:44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 spans="1:44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 spans="1:44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 spans="1:44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 spans="1:44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 spans="1:44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 spans="1:44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 spans="1:44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spans="1:44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 spans="1:44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 spans="1:44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 spans="1:44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 spans="1:44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 spans="1:44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 spans="1:44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 spans="1:44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 spans="1:44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 spans="1:44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 spans="1:44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 spans="1:44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 spans="1:44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 spans="1:44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 spans="1:44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 spans="1:44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 spans="1:44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 spans="1:44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 spans="1:44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 spans="1:44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 spans="1:44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 spans="1:44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 spans="1:44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 spans="1:44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 spans="1:44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 spans="1:44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 spans="1:44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 spans="1:44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 spans="1:44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 spans="1:44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 spans="1:44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 spans="1:44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 spans="1:44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 spans="1:44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 spans="1:44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 spans="1:44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spans="1:44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 spans="1:44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 spans="1:44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 spans="1:44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 spans="1:44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 spans="1:44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 spans="1:44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 spans="1:44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 spans="1:44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 spans="1:44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 spans="1:44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 spans="1:44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2026-01-16T21:32:35Z</dcterms:modified>
</cp:coreProperties>
</file>