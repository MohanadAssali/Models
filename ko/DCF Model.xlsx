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407A134-9EAC-4151-8EF8-F7226307E214}" xr6:coauthVersionLast="47" xr6:coauthVersionMax="47" xr10:uidLastSave="{00000000-0000-0000-0000-000000000000}"/>
  <bookViews>
    <workbookView xWindow="-28920" yWindow="660" windowWidth="29040" windowHeight="15720" xr2:uid="{D01B25C2-CA04-4D87-8896-28C88946E0C3}"/>
  </bookViews>
  <sheets>
    <sheet name="DCF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7" i="1" l="1"/>
  <c r="M42" i="1"/>
  <c r="L42" i="1"/>
  <c r="K42" i="1"/>
  <c r="J42" i="1"/>
  <c r="J40" i="1" l="1"/>
  <c r="J41" i="1" s="1"/>
  <c r="J43" i="1" s="1"/>
  <c r="H37" i="1"/>
  <c r="G37" i="1"/>
  <c r="F37" i="1"/>
  <c r="I37" i="1"/>
  <c r="K40" i="1" l="1"/>
  <c r="H15" i="1"/>
  <c r="G15" i="1"/>
  <c r="F15" i="1"/>
  <c r="E15" i="1"/>
  <c r="I15" i="1"/>
  <c r="K41" i="1" l="1"/>
  <c r="K43" i="1" s="1"/>
  <c r="L40" i="1"/>
  <c r="M40" i="1" l="1"/>
  <c r="M41" i="1" s="1"/>
  <c r="M43" i="1" s="1"/>
  <c r="M44" i="1" s="1"/>
  <c r="M45" i="1" s="1"/>
  <c r="L41" i="1"/>
  <c r="L43" i="1" s="1"/>
  <c r="M46" i="1" l="1"/>
  <c r="M49" i="1" s="1"/>
  <c r="M51" i="1" s="1"/>
</calcChain>
</file>

<file path=xl/sharedStrings.xml><?xml version="1.0" encoding="utf-8"?>
<sst xmlns="http://schemas.openxmlformats.org/spreadsheetml/2006/main" count="62" uniqueCount="53">
  <si>
    <t>Shares outstanding</t>
  </si>
  <si>
    <t>Cash</t>
  </si>
  <si>
    <t>Debt</t>
  </si>
  <si>
    <t>EV</t>
  </si>
  <si>
    <t>Income Statement</t>
  </si>
  <si>
    <t>Revenue</t>
  </si>
  <si>
    <t>FY2022</t>
  </si>
  <si>
    <t>FY2023</t>
  </si>
  <si>
    <t>FY2024</t>
  </si>
  <si>
    <t>FY2025</t>
  </si>
  <si>
    <t>FY2026</t>
  </si>
  <si>
    <t>EBITDA</t>
  </si>
  <si>
    <t>CocaCola Company (KO)</t>
  </si>
  <si>
    <t>WC</t>
  </si>
  <si>
    <t>Annually</t>
  </si>
  <si>
    <t>FY2027</t>
  </si>
  <si>
    <t>FY2028</t>
  </si>
  <si>
    <t>FY2021</t>
  </si>
  <si>
    <t>FY2020</t>
  </si>
  <si>
    <t>D&amp;A</t>
  </si>
  <si>
    <t>Mohanad Assali</t>
  </si>
  <si>
    <t>DCF Model</t>
  </si>
  <si>
    <t>%Rev</t>
  </si>
  <si>
    <t>%EBITDA</t>
  </si>
  <si>
    <t>EBIT</t>
  </si>
  <si>
    <t>Taxes</t>
  </si>
  <si>
    <t>%Taxes</t>
  </si>
  <si>
    <t>NOPAT</t>
  </si>
  <si>
    <t>%Sales</t>
  </si>
  <si>
    <t>Assumptions</t>
  </si>
  <si>
    <t>NOPAT Margin</t>
  </si>
  <si>
    <t>Capex</t>
  </si>
  <si>
    <t>FCF Margin</t>
  </si>
  <si>
    <t>g</t>
  </si>
  <si>
    <t>WAAC</t>
  </si>
  <si>
    <t>Rev Growth</t>
  </si>
  <si>
    <t>Cash flow statement</t>
  </si>
  <si>
    <t>Discounted Cash Flow</t>
  </si>
  <si>
    <t>EBIAT</t>
  </si>
  <si>
    <t>Chg. WC</t>
  </si>
  <si>
    <t>FCF</t>
  </si>
  <si>
    <t>Intristic Stock Value</t>
  </si>
  <si>
    <t>Forecasted Revenue</t>
  </si>
  <si>
    <t>Discount period</t>
  </si>
  <si>
    <t>Undiscounted Revenue</t>
  </si>
  <si>
    <t>Discount Factor</t>
  </si>
  <si>
    <t>Discounted TV</t>
  </si>
  <si>
    <t>Equity Value</t>
  </si>
  <si>
    <t>Discounted FCF</t>
  </si>
  <si>
    <t>Terminal Value</t>
  </si>
  <si>
    <t>Intristic Stock Price</t>
  </si>
  <si>
    <t>Created 1/16/2026</t>
  </si>
  <si>
    <t>DCF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</si>
</sst>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9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2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0" fillId="0" borderId="0" xfId="0" applyNumberFormat="1"/>
    <xf numFmtId="0" fontId="1" fillId="0" borderId="0" xfId="0" applyFont="1"/>
    <xf numFmtId="4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3" borderId="0" xfId="0" applyFill="1"/>
    <xf numFmtId="0" fontId="2" fillId="3" borderId="0" xfId="0" applyFont="1" applyFill="1"/>
    <xf numFmtId="14" fontId="0" fillId="0" borderId="0" xfId="0" applyNumberFormat="1"/>
    <xf numFmtId="0" fontId="3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0" fontId="0" fillId="3" borderId="1" xfId="0" applyFill="1" applyBorder="1"/>
    <xf numFmtId="0" fontId="0" fillId="4" borderId="0" xfId="0" applyFill="1"/>
    <xf numFmtId="0" fontId="2" fillId="4" borderId="0" xfId="0" applyFont="1" applyFill="1"/>
    <xf numFmtId="9" fontId="0" fillId="0" borderId="0" xfId="0" applyNumberFormat="1"/>
    <xf numFmtId="9" fontId="0" fillId="4" borderId="0" xfId="0" applyNumberFormat="1" applyFill="1"/>
    <xf numFmtId="10" fontId="0" fillId="4" borderId="0" xfId="0" applyNumberFormat="1" applyFill="1"/>
    <xf numFmtId="3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143392</xdr:colOff>
      <xdr:row>0</xdr:row>
      <xdr:rowOff>143392</xdr:rowOff>
    </xdr:from>
    <xdr:to>
      <xdr:col>25</xdr:col>
      <xdr:colOff>93055</xdr:colOff>
      <xdr:row>3</xdr:row>
      <xdr:rowOff>173571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D0F56F-F1EE-773D-7AB5-72E6ECFB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0299" y="143392"/>
          <a:ext cx="566948" cy="559123"/>
        </a:xfrm>
        <a:prstGeom prst="rect">
          <a:avLst/>
        </a:prstGeom>
      </xdr:spPr>
    </xdr:pic>
    <xdr:clientData/>
  </xdr:twoCellAnchor>
  <xdr:twoCellAnchor>
    <xdr:from>
      <xdr:col>8</xdr:col>
      <xdr:colOff>678453</xdr:colOff>
      <xdr:row>7</xdr:row>
      <xdr:rowOff>22678</xdr:rowOff>
    </xdr:from>
    <xdr:to>
      <xdr:col>9</xdr:col>
      <xdr:colOff>0</xdr:colOff>
      <xdr:row>53</xdr:row>
      <xdr:rowOff>160655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D894CCE-20FC-4959-882D-C86FE42F9F21}"/>
            </a:ext>
          </a:extLst>
        </xdr:cNvPr>
        <xdr:cNvCxnSpPr/>
      </xdr:nvCxnSpPr>
      <xdr:spPr>
        <a:xfrm flipH="1">
          <a:off x="5894524" y="11634107"/>
          <a:ext cx="13244" cy="10660834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636C-E0E6-491F-964D-AA690062476A}">
  <dimension ref="A1:AR203"/>
  <sheetViews>
    <sheetView tabSelected="1" zoomScale="84" zoomScaleNormal="84" workbookViewId="0">
      <pane xSplit="3" ySplit="6" topLeftCell="D7" activePane="bottomRight" state="frozen"/>
      <selection pane="topRight" activeCell="D1" sqref="D1"/>
      <selection pane="bottomLeft" activeCell="A13" sqref="A13"/>
      <selection pane="bottomRight" activeCell="S26" sqref="S26"/>
    </sheetView>
  </sheetViews>
  <sheetFormatPr defaultRowHeight="14.4" x14ac:dyDescent="0.3"/>
  <cols>
    <col min="5" max="6" width="10.109375" bestFit="1" customWidth="1"/>
    <col min="7" max="11" width="10.109375" customWidth="1"/>
    <col min="12" max="13" width="11.5546875" customWidth="1"/>
    <col min="14" max="17" width="9.6640625" bestFit="1" customWidth="1"/>
    <col min="18" max="18" width="10.5546875" customWidth="1"/>
    <col min="23" max="23" width="1.5546875" customWidth="1"/>
    <col min="24" max="24" width="1" customWidth="1"/>
  </cols>
  <sheetData>
    <row r="1" spans="1:44" x14ac:dyDescent="0.3">
      <c r="A1" s="10" t="s">
        <v>51</v>
      </c>
      <c r="B1" s="10"/>
      <c r="C1" s="10"/>
      <c r="D1" s="10"/>
      <c r="E1" s="10"/>
      <c r="F1" s="10"/>
      <c r="G1" s="10" t="s">
        <v>12</v>
      </c>
      <c r="H1" s="10"/>
      <c r="I1" s="10"/>
      <c r="J1" s="10"/>
      <c r="K1" s="10"/>
      <c r="L1" s="10"/>
      <c r="M1" s="10" t="s">
        <v>20</v>
      </c>
      <c r="N1" s="10"/>
      <c r="O1" s="10"/>
      <c r="P1" s="10"/>
      <c r="Q1" s="10"/>
      <c r="R1" s="10"/>
      <c r="S1" s="10"/>
      <c r="T1" s="10"/>
      <c r="U1" s="10"/>
      <c r="V1" s="10"/>
      <c r="W1" s="8"/>
      <c r="X1" s="8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</row>
    <row r="2" spans="1:44" x14ac:dyDescent="0.3">
      <c r="A2" s="12" t="s">
        <v>52</v>
      </c>
      <c r="B2" s="7"/>
      <c r="W2" s="8"/>
      <c r="X2" s="8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x14ac:dyDescent="0.3">
      <c r="A3" s="7"/>
      <c r="B3" s="7"/>
      <c r="W3" s="8"/>
      <c r="X3" s="8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</row>
    <row r="4" spans="1:44" x14ac:dyDescent="0.3">
      <c r="A4" s="17"/>
      <c r="B4" s="7"/>
      <c r="E4" s="17"/>
      <c r="P4" s="17"/>
      <c r="W4" s="8"/>
      <c r="X4" s="8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spans="1:44" x14ac:dyDescent="0.3">
      <c r="A5" s="7"/>
      <c r="B5" s="7"/>
      <c r="W5" s="8"/>
      <c r="X5" s="8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</row>
    <row r="6" spans="1:44" x14ac:dyDescent="0.3">
      <c r="A6" s="7"/>
      <c r="B6" s="7"/>
      <c r="E6" s="16" t="s">
        <v>14</v>
      </c>
      <c r="G6" s="16"/>
      <c r="H6" s="16"/>
      <c r="J6" s="16" t="s">
        <v>14</v>
      </c>
      <c r="N6" s="16"/>
      <c r="P6" s="16"/>
      <c r="W6" s="8"/>
      <c r="X6" s="8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</row>
    <row r="7" spans="1:44" x14ac:dyDescent="0.3">
      <c r="A7" s="10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8"/>
      <c r="X7" s="8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</row>
    <row r="8" spans="1:44" x14ac:dyDescent="0.3">
      <c r="A8" s="7"/>
      <c r="B8" s="7"/>
      <c r="W8" s="8"/>
      <c r="X8" s="8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</row>
    <row r="9" spans="1:44" x14ac:dyDescent="0.3">
      <c r="A9" s="9" t="s">
        <v>21</v>
      </c>
      <c r="B9" s="18"/>
      <c r="E9" t="s">
        <v>18</v>
      </c>
      <c r="F9" t="s">
        <v>17</v>
      </c>
      <c r="G9" t="s">
        <v>6</v>
      </c>
      <c r="H9" t="s">
        <v>7</v>
      </c>
      <c r="I9" t="s">
        <v>8</v>
      </c>
      <c r="W9" s="8"/>
      <c r="X9" s="8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</row>
    <row r="10" spans="1:44" x14ac:dyDescent="0.3">
      <c r="E10" s="11">
        <v>44237</v>
      </c>
      <c r="F10" s="11">
        <v>44614</v>
      </c>
      <c r="G10" s="11">
        <v>44978</v>
      </c>
      <c r="H10" s="11">
        <v>45342</v>
      </c>
      <c r="I10" s="11">
        <v>45708</v>
      </c>
      <c r="W10" s="8"/>
      <c r="X10" s="8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</row>
    <row r="11" spans="1:44" x14ac:dyDescent="0.3">
      <c r="A11" s="5" t="s">
        <v>4</v>
      </c>
      <c r="B11" s="6"/>
      <c r="C11" t="s">
        <v>5</v>
      </c>
      <c r="E11" s="1">
        <v>33014</v>
      </c>
      <c r="F11" s="1">
        <v>38655</v>
      </c>
      <c r="G11" s="1">
        <v>43004</v>
      </c>
      <c r="H11" s="1">
        <v>45754</v>
      </c>
      <c r="I11" s="1">
        <v>47061</v>
      </c>
      <c r="K11" s="20" t="s">
        <v>29</v>
      </c>
      <c r="L11" s="19"/>
      <c r="M11" s="19"/>
      <c r="W11" s="8"/>
      <c r="X11" s="8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</row>
    <row r="12" spans="1:44" x14ac:dyDescent="0.3">
      <c r="A12" s="7"/>
      <c r="B12" s="7"/>
      <c r="C12" t="s">
        <v>22</v>
      </c>
      <c r="E12" s="4">
        <v>-0.11409864219395693</v>
      </c>
      <c r="F12" s="4">
        <v>0.17086690494941537</v>
      </c>
      <c r="G12" s="4">
        <v>0.11250808433579107</v>
      </c>
      <c r="H12" s="4">
        <v>6.3947539763743011E-2</v>
      </c>
      <c r="I12" s="4">
        <v>2.8565808453905772E-2</v>
      </c>
      <c r="K12" s="20"/>
      <c r="L12" s="19"/>
      <c r="M12" s="19"/>
      <c r="W12" s="8"/>
      <c r="X12" s="8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pans="1:44" x14ac:dyDescent="0.3">
      <c r="A13" s="7"/>
      <c r="B13" s="7"/>
      <c r="K13" s="19" t="s">
        <v>30</v>
      </c>
      <c r="L13" s="19"/>
      <c r="M13" s="22">
        <v>0.25</v>
      </c>
      <c r="W13" s="8"/>
      <c r="X13" s="8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 spans="1:44" x14ac:dyDescent="0.3">
      <c r="A14" s="7"/>
      <c r="B14" s="7"/>
      <c r="C14" t="s">
        <v>11</v>
      </c>
      <c r="E14" s="1">
        <v>8997</v>
      </c>
      <c r="F14" s="1">
        <v>10308</v>
      </c>
      <c r="G14" s="1">
        <v>10909</v>
      </c>
      <c r="H14" s="1">
        <v>11311</v>
      </c>
      <c r="I14" s="1">
        <v>9992</v>
      </c>
      <c r="K14" s="19" t="s">
        <v>19</v>
      </c>
      <c r="L14" s="19"/>
      <c r="M14" s="22">
        <v>0.03</v>
      </c>
      <c r="W14" s="8"/>
      <c r="X14" s="8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</row>
    <row r="15" spans="1:44" x14ac:dyDescent="0.3">
      <c r="A15" s="7"/>
      <c r="B15" s="7"/>
      <c r="C15" t="s">
        <v>23</v>
      </c>
      <c r="E15" s="4">
        <f t="shared" ref="E15:H15" si="0">E14/E11</f>
        <v>0.27252074877324772</v>
      </c>
      <c r="F15" s="4">
        <f t="shared" si="0"/>
        <v>0.26666666666666666</v>
      </c>
      <c r="G15" s="4">
        <f t="shared" si="0"/>
        <v>0.25367407683006232</v>
      </c>
      <c r="H15" s="4">
        <f t="shared" si="0"/>
        <v>0.24721335839489444</v>
      </c>
      <c r="I15" s="4">
        <f>I14/I11</f>
        <v>0.21232018019166612</v>
      </c>
      <c r="K15" s="19" t="s">
        <v>31</v>
      </c>
      <c r="L15" s="19"/>
      <c r="M15" s="22">
        <v>0.04</v>
      </c>
      <c r="W15" s="8"/>
      <c r="X15" s="8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</row>
    <row r="16" spans="1:44" x14ac:dyDescent="0.3">
      <c r="A16" s="7"/>
      <c r="B16" s="7"/>
      <c r="K16" s="19" t="s">
        <v>13</v>
      </c>
      <c r="L16" s="19"/>
      <c r="M16" s="22">
        <v>-0.02</v>
      </c>
      <c r="W16" s="8"/>
      <c r="X16" s="8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</row>
    <row r="17" spans="1:44" x14ac:dyDescent="0.3">
      <c r="A17" s="7"/>
      <c r="B17" s="7"/>
      <c r="C17" t="s">
        <v>24</v>
      </c>
      <c r="E17" s="1">
        <v>7461</v>
      </c>
      <c r="F17" s="1">
        <v>8856</v>
      </c>
      <c r="G17" s="1">
        <v>9649</v>
      </c>
      <c r="H17" s="1">
        <v>10183</v>
      </c>
      <c r="I17" s="1">
        <v>8917</v>
      </c>
      <c r="K17" s="19" t="s">
        <v>32</v>
      </c>
      <c r="L17" s="19"/>
      <c r="M17" s="22">
        <f>M13+M14-M15-M16</f>
        <v>0.26</v>
      </c>
      <c r="W17" s="8"/>
      <c r="X17" s="8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</row>
    <row r="18" spans="1:44" x14ac:dyDescent="0.3">
      <c r="A18" s="7"/>
      <c r="B18" s="7"/>
      <c r="C18" t="s">
        <v>25</v>
      </c>
      <c r="E18" s="1">
        <v>1551.8879999999999</v>
      </c>
      <c r="F18" s="1">
        <v>1842.048</v>
      </c>
      <c r="G18" s="1">
        <v>2006.992</v>
      </c>
      <c r="H18" s="1">
        <v>2118.0639999999999</v>
      </c>
      <c r="I18" s="1">
        <v>1854.7359999999999</v>
      </c>
      <c r="K18" s="19"/>
      <c r="L18" s="19"/>
      <c r="M18" s="19"/>
      <c r="W18" s="8"/>
      <c r="X18" s="8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</row>
    <row r="19" spans="1:44" x14ac:dyDescent="0.3">
      <c r="A19" s="7"/>
      <c r="B19" s="7"/>
      <c r="C19" t="s">
        <v>26</v>
      </c>
      <c r="E19" s="4">
        <v>0.20799999999999999</v>
      </c>
      <c r="F19" s="4">
        <v>0.20799999999999999</v>
      </c>
      <c r="G19" s="4">
        <v>0.20799999999999999</v>
      </c>
      <c r="H19" s="4">
        <v>0.20799999999999999</v>
      </c>
      <c r="I19" s="4">
        <v>0.20799999999999999</v>
      </c>
      <c r="K19" s="19" t="s">
        <v>33</v>
      </c>
      <c r="L19" s="19"/>
      <c r="M19" s="23">
        <v>0.03</v>
      </c>
      <c r="W19" s="8"/>
      <c r="X19" s="8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</row>
    <row r="20" spans="1:44" x14ac:dyDescent="0.3">
      <c r="A20" s="7"/>
      <c r="B20" s="7"/>
      <c r="K20" s="19" t="s">
        <v>34</v>
      </c>
      <c r="L20" s="19"/>
      <c r="M20" s="22">
        <v>0.05</v>
      </c>
      <c r="W20" s="8"/>
      <c r="X20" s="8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</row>
    <row r="21" spans="1:44" x14ac:dyDescent="0.3">
      <c r="A21" s="7"/>
      <c r="B21" s="7"/>
      <c r="C21" t="s">
        <v>27</v>
      </c>
      <c r="E21" s="1">
        <v>5595.75</v>
      </c>
      <c r="F21" s="1">
        <v>6642</v>
      </c>
      <c r="G21" s="1">
        <v>7236.75</v>
      </c>
      <c r="H21" s="1">
        <v>7637.25</v>
      </c>
      <c r="I21" s="1">
        <v>6687.75</v>
      </c>
      <c r="K21" s="19" t="s">
        <v>35</v>
      </c>
      <c r="L21" s="19"/>
      <c r="M21" s="22">
        <v>0.05</v>
      </c>
      <c r="W21" s="8"/>
      <c r="X21" s="8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</row>
    <row r="22" spans="1:44" x14ac:dyDescent="0.3">
      <c r="A22" s="7"/>
      <c r="B22" s="7"/>
      <c r="C22" t="s">
        <v>28</v>
      </c>
      <c r="E22" s="4">
        <v>0.1694962743078694</v>
      </c>
      <c r="F22" s="4">
        <v>0.17182770663562283</v>
      </c>
      <c r="G22" s="4">
        <v>0.16828085759464237</v>
      </c>
      <c r="H22" s="4">
        <v>0.16691983214582332</v>
      </c>
      <c r="I22" s="4">
        <v>0.14210811499968126</v>
      </c>
      <c r="J22" s="4"/>
      <c r="W22" s="8"/>
      <c r="X22" s="8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</row>
    <row r="23" spans="1:44" x14ac:dyDescent="0.3">
      <c r="A23" s="7"/>
      <c r="B23" s="7"/>
      <c r="W23" s="8"/>
      <c r="X23" s="8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 spans="1:44" x14ac:dyDescent="0.3">
      <c r="A24" s="5" t="s">
        <v>36</v>
      </c>
      <c r="B24" s="6"/>
      <c r="C24" t="s">
        <v>19</v>
      </c>
      <c r="E24" s="1">
        <v>1536</v>
      </c>
      <c r="F24" s="1">
        <v>1452</v>
      </c>
      <c r="G24" s="1">
        <v>1260</v>
      </c>
      <c r="H24" s="1">
        <v>1128</v>
      </c>
      <c r="I24" s="1">
        <v>1075</v>
      </c>
      <c r="W24" s="8"/>
      <c r="X24" s="8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 spans="1:44" x14ac:dyDescent="0.3">
      <c r="A25" s="7"/>
      <c r="B25" s="7"/>
      <c r="C25" t="s">
        <v>28</v>
      </c>
      <c r="E25" s="4">
        <v>4.6525716362755196E-2</v>
      </c>
      <c r="F25" s="4">
        <v>3.7563057819169576E-2</v>
      </c>
      <c r="G25" s="4">
        <v>2.9299600037205841E-2</v>
      </c>
      <c r="H25" s="4">
        <v>2.4653582200463348E-2</v>
      </c>
      <c r="I25" s="4">
        <v>2.2842693525424448E-2</v>
      </c>
      <c r="J25" s="4"/>
      <c r="W25" s="8"/>
      <c r="X25" s="8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 spans="1:44" x14ac:dyDescent="0.3">
      <c r="A26" s="7"/>
      <c r="B26" s="7"/>
      <c r="W26" s="8"/>
      <c r="X26" s="8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 spans="1:44" x14ac:dyDescent="0.3">
      <c r="A27" s="7"/>
      <c r="B27" s="7"/>
      <c r="C27" t="s">
        <v>31</v>
      </c>
      <c r="E27">
        <v>10777</v>
      </c>
      <c r="F27">
        <v>9920</v>
      </c>
      <c r="G27">
        <v>9841</v>
      </c>
      <c r="H27">
        <v>9236</v>
      </c>
      <c r="I27">
        <v>10303</v>
      </c>
      <c r="W27" s="8"/>
      <c r="X27" s="8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</row>
    <row r="28" spans="1:44" x14ac:dyDescent="0.3">
      <c r="A28" s="7"/>
      <c r="B28" s="7"/>
      <c r="C28" t="s">
        <v>28</v>
      </c>
      <c r="E28" s="4">
        <v>0.32643726903737807</v>
      </c>
      <c r="F28" s="4">
        <v>0.25662915534859654</v>
      </c>
      <c r="G28" s="4">
        <v>0.2288391777509069</v>
      </c>
      <c r="H28" s="4">
        <v>0.2018621322725882</v>
      </c>
      <c r="I28" s="4">
        <v>0.2189286245511145</v>
      </c>
      <c r="J28" s="4"/>
      <c r="W28" s="8"/>
      <c r="X28" s="8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</row>
    <row r="29" spans="1:44" x14ac:dyDescent="0.3">
      <c r="A29" s="7"/>
      <c r="B29" s="7"/>
      <c r="W29" s="8"/>
      <c r="X29" s="8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</row>
    <row r="30" spans="1:44" x14ac:dyDescent="0.3">
      <c r="A30" s="7"/>
      <c r="B30" s="7"/>
      <c r="C30" t="s">
        <v>39</v>
      </c>
      <c r="E30" s="1"/>
      <c r="F30" s="1">
        <v>635</v>
      </c>
      <c r="G30" s="1">
        <v>-1930</v>
      </c>
      <c r="H30" s="1">
        <v>-241</v>
      </c>
      <c r="I30" s="1">
        <v>-5388</v>
      </c>
      <c r="W30" s="8"/>
      <c r="X30" s="8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</row>
    <row r="31" spans="1:44" x14ac:dyDescent="0.3">
      <c r="A31" s="7"/>
      <c r="B31" s="7"/>
      <c r="C31" t="s">
        <v>28</v>
      </c>
      <c r="F31" s="21">
        <v>1.6427370327253912E-2</v>
      </c>
      <c r="G31" s="21">
        <v>-4.4879546088735935E-2</v>
      </c>
      <c r="H31" s="21">
        <v>-5.2672990339642433E-3</v>
      </c>
      <c r="I31" s="21">
        <v>-0.11448970485115063</v>
      </c>
      <c r="J31" s="4"/>
      <c r="W31" s="8"/>
      <c r="X31" s="8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</row>
    <row r="32" spans="1:44" x14ac:dyDescent="0.3">
      <c r="A32" s="7"/>
      <c r="B32" s="7"/>
      <c r="W32" s="8"/>
      <c r="X32" s="8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</row>
    <row r="33" spans="1:44" x14ac:dyDescent="0.3">
      <c r="A33" s="5" t="s">
        <v>37</v>
      </c>
      <c r="B33" s="6"/>
      <c r="C33" t="s">
        <v>38</v>
      </c>
      <c r="E33">
        <v>8997</v>
      </c>
      <c r="F33">
        <v>10308</v>
      </c>
      <c r="G33">
        <v>10909</v>
      </c>
      <c r="H33">
        <v>11311</v>
      </c>
      <c r="I33">
        <v>9992</v>
      </c>
      <c r="W33" s="8"/>
      <c r="X33" s="8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</row>
    <row r="34" spans="1:44" x14ac:dyDescent="0.3">
      <c r="A34" s="7"/>
      <c r="B34" s="7"/>
      <c r="C34" t="s">
        <v>19</v>
      </c>
      <c r="E34">
        <v>1536</v>
      </c>
      <c r="F34">
        <v>1452</v>
      </c>
      <c r="G34">
        <v>1260</v>
      </c>
      <c r="H34">
        <v>1128</v>
      </c>
      <c r="I34">
        <v>1075</v>
      </c>
      <c r="W34" s="8"/>
      <c r="X34" s="8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</row>
    <row r="35" spans="1:44" x14ac:dyDescent="0.3">
      <c r="A35" s="7"/>
      <c r="B35" s="7"/>
      <c r="C35" t="s">
        <v>31</v>
      </c>
      <c r="E35">
        <v>10777</v>
      </c>
      <c r="F35">
        <v>9920</v>
      </c>
      <c r="G35">
        <v>9841</v>
      </c>
      <c r="H35">
        <v>9236</v>
      </c>
      <c r="I35">
        <v>10303</v>
      </c>
      <c r="W35" s="8"/>
      <c r="X35" s="8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6" spans="1:44" x14ac:dyDescent="0.3">
      <c r="A36" s="7"/>
      <c r="B36" s="7"/>
      <c r="C36" t="s">
        <v>39</v>
      </c>
      <c r="F36">
        <v>635</v>
      </c>
      <c r="G36">
        <v>-1930</v>
      </c>
      <c r="H36">
        <v>-241</v>
      </c>
      <c r="I36">
        <v>-5388</v>
      </c>
      <c r="W36" s="8"/>
      <c r="X36" s="8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</row>
    <row r="37" spans="1:44" x14ac:dyDescent="0.3">
      <c r="A37" s="7"/>
      <c r="B37" s="7"/>
      <c r="C37" t="s">
        <v>40</v>
      </c>
      <c r="F37">
        <f t="shared" ref="F37:H37" si="1">F33+F34-F35-F36</f>
        <v>1205</v>
      </c>
      <c r="G37">
        <f t="shared" si="1"/>
        <v>4258</v>
      </c>
      <c r="H37">
        <f t="shared" si="1"/>
        <v>3444</v>
      </c>
      <c r="I37">
        <f>I33+I34-I35-I36</f>
        <v>6152</v>
      </c>
      <c r="W37" s="8"/>
      <c r="X37" s="8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</row>
    <row r="38" spans="1:44" x14ac:dyDescent="0.3">
      <c r="A38" s="7"/>
      <c r="B38" s="7"/>
      <c r="J38" s="2" t="s">
        <v>9</v>
      </c>
      <c r="K38" s="2" t="s">
        <v>10</v>
      </c>
      <c r="L38" s="2" t="s">
        <v>15</v>
      </c>
      <c r="M38" s="2" t="s">
        <v>16</v>
      </c>
      <c r="W38" s="8"/>
      <c r="X38" s="8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</row>
    <row r="39" spans="1:44" x14ac:dyDescent="0.3">
      <c r="A39" s="5" t="s">
        <v>41</v>
      </c>
      <c r="B39" s="6"/>
      <c r="C39" t="s">
        <v>43</v>
      </c>
      <c r="J39">
        <v>1</v>
      </c>
      <c r="K39">
        <v>2</v>
      </c>
      <c r="L39">
        <v>3</v>
      </c>
      <c r="M39">
        <v>4</v>
      </c>
      <c r="W39" s="8"/>
      <c r="X39" s="8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</row>
    <row r="40" spans="1:44" x14ac:dyDescent="0.3">
      <c r="A40" s="7"/>
      <c r="B40" s="7"/>
      <c r="C40" t="s">
        <v>42</v>
      </c>
      <c r="J40" s="1">
        <f>(I11*0.05)+I11</f>
        <v>49414.05</v>
      </c>
      <c r="K40" s="1">
        <f>(J40*0.05)+J40</f>
        <v>51884.752500000002</v>
      </c>
      <c r="L40" s="1">
        <f>(K40*0.05)+K40</f>
        <v>54478.990125000004</v>
      </c>
      <c r="M40" s="1">
        <f t="shared" ref="M40" si="2">(L40*$R$19)+L40</f>
        <v>54478.990125000004</v>
      </c>
      <c r="W40" s="8"/>
      <c r="X40" s="8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</row>
    <row r="41" spans="1:44" x14ac:dyDescent="0.3">
      <c r="A41" s="7"/>
      <c r="B41" s="7"/>
      <c r="C41" t="s">
        <v>44</v>
      </c>
      <c r="J41" s="1">
        <f>J40*0.26</f>
        <v>12847.653000000002</v>
      </c>
      <c r="K41" s="1">
        <f>K40*0.26</f>
        <v>13490.035650000002</v>
      </c>
      <c r="L41" s="1">
        <f>L40*0.26</f>
        <v>14164.537432500001</v>
      </c>
      <c r="M41" s="1">
        <f>M40*0.26</f>
        <v>14164.537432500001</v>
      </c>
      <c r="W41" s="8"/>
      <c r="X41" s="8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</row>
    <row r="42" spans="1:44" x14ac:dyDescent="0.3">
      <c r="A42" s="7"/>
      <c r="B42" s="7"/>
      <c r="C42" t="s">
        <v>45</v>
      </c>
      <c r="J42" s="3">
        <f>(1/1.05)^1</f>
        <v>0.95238095238095233</v>
      </c>
      <c r="K42" s="3">
        <f>(1/1.05)^2</f>
        <v>0.90702947845804982</v>
      </c>
      <c r="L42" s="3">
        <f>(1/1.05)^3</f>
        <v>0.86383759853147601</v>
      </c>
      <c r="M42" s="3">
        <f>(1/1.05)^4</f>
        <v>0.82270247479188185</v>
      </c>
      <c r="W42" s="8"/>
      <c r="X42" s="8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</row>
    <row r="43" spans="1:44" x14ac:dyDescent="0.3">
      <c r="A43" s="7"/>
      <c r="B43" s="7"/>
      <c r="C43" t="s">
        <v>48</v>
      </c>
      <c r="J43" s="1">
        <f>J42*J41</f>
        <v>12235.86</v>
      </c>
      <c r="K43" s="1">
        <f t="shared" ref="K43:M43" si="3">K42*K41</f>
        <v>12235.86</v>
      </c>
      <c r="L43" s="1">
        <f t="shared" si="3"/>
        <v>12235.86</v>
      </c>
      <c r="M43" s="1">
        <f t="shared" si="3"/>
        <v>11653.199999999999</v>
      </c>
      <c r="W43" s="8"/>
      <c r="X43" s="8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</row>
    <row r="44" spans="1:44" x14ac:dyDescent="0.3">
      <c r="A44" s="7"/>
      <c r="B44" s="7"/>
      <c r="C44" t="s">
        <v>49</v>
      </c>
      <c r="M44" s="1">
        <f>M43*(1.03)/(0.02)</f>
        <v>600139.79999999993</v>
      </c>
      <c r="W44" s="8"/>
      <c r="X44" s="8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</row>
    <row r="45" spans="1:44" x14ac:dyDescent="0.3">
      <c r="A45" s="7"/>
      <c r="B45" s="7"/>
      <c r="C45" t="s">
        <v>46</v>
      </c>
      <c r="M45" s="1">
        <f>M44*M42</f>
        <v>493736.49868110497</v>
      </c>
      <c r="W45" s="8"/>
      <c r="X45" s="8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</row>
    <row r="46" spans="1:44" x14ac:dyDescent="0.3">
      <c r="A46" s="7"/>
      <c r="B46" s="7"/>
      <c r="C46" t="s">
        <v>3</v>
      </c>
      <c r="M46" s="1">
        <f>SUM(J43:M43)+M45</f>
        <v>542097.278681105</v>
      </c>
      <c r="W46" s="8"/>
      <c r="X46" s="8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</row>
    <row r="47" spans="1:44" x14ac:dyDescent="0.3">
      <c r="A47" s="7"/>
      <c r="B47" s="7"/>
      <c r="C47" t="s">
        <v>1</v>
      </c>
      <c r="M47" s="1">
        <v>14571</v>
      </c>
      <c r="W47" s="8"/>
      <c r="X47" s="8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</row>
    <row r="48" spans="1:44" x14ac:dyDescent="0.3">
      <c r="A48" s="7"/>
      <c r="B48" s="7"/>
      <c r="C48" t="s">
        <v>2</v>
      </c>
      <c r="M48" s="1">
        <v>49576</v>
      </c>
      <c r="W48" s="8"/>
      <c r="X48" s="8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</row>
    <row r="49" spans="1:44" x14ac:dyDescent="0.3">
      <c r="A49" s="7"/>
      <c r="B49" s="7"/>
      <c r="C49" t="s">
        <v>47</v>
      </c>
      <c r="M49" s="1">
        <f>M46+M47-M48</f>
        <v>507092.278681105</v>
      </c>
      <c r="W49" s="8"/>
      <c r="X49" s="8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</row>
    <row r="50" spans="1:44" x14ac:dyDescent="0.3">
      <c r="A50" s="7"/>
      <c r="B50" s="7"/>
      <c r="C50" t="s">
        <v>0</v>
      </c>
      <c r="M50" s="1">
        <v>4320</v>
      </c>
      <c r="W50" s="8"/>
      <c r="X50" s="8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spans="1:44" x14ac:dyDescent="0.3">
      <c r="A51" s="7"/>
      <c r="B51" s="7"/>
      <c r="C51" t="s">
        <v>50</v>
      </c>
      <c r="M51" s="24">
        <f>M49/M50</f>
        <v>117.38247191692246</v>
      </c>
      <c r="W51" s="8"/>
      <c r="X51" s="8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</row>
    <row r="52" spans="1:44" x14ac:dyDescent="0.3">
      <c r="A52" s="7"/>
      <c r="B52" s="7"/>
      <c r="W52" s="8"/>
      <c r="X52" s="8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pans="1:44" x14ac:dyDescent="0.3">
      <c r="A53" s="7"/>
      <c r="B53" s="7"/>
      <c r="W53" s="8"/>
      <c r="X53" s="8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spans="1:44" x14ac:dyDescent="0.3">
      <c r="A54" s="7"/>
      <c r="B54" s="7"/>
      <c r="W54" s="8"/>
      <c r="X54" s="8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spans="1:44" ht="6.75" customHeight="1" x14ac:dyDescent="0.3">
      <c r="A55" s="7"/>
      <c r="B55" s="7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5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spans="1:44" x14ac:dyDescent="0.3">
      <c r="A56" s="7"/>
      <c r="B56" s="7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7"/>
      <c r="X56" s="13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</row>
    <row r="57" spans="1:44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spans="1:44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</row>
    <row r="59" spans="1:44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</row>
    <row r="60" spans="1:44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</row>
    <row r="61" spans="1:44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spans="1:44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spans="1:44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spans="1:44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spans="1:44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</row>
    <row r="66" spans="1:44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</row>
    <row r="67" spans="1:44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</row>
    <row r="68" spans="1:44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</row>
    <row r="69" spans="1:44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</row>
    <row r="70" spans="1:44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</row>
    <row r="71" spans="1:44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</row>
    <row r="72" spans="1:44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</row>
    <row r="73" spans="1:44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</row>
    <row r="74" spans="1:44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</row>
    <row r="75" spans="1:44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</row>
    <row r="76" spans="1:44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</row>
    <row r="77" spans="1:44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</row>
    <row r="78" spans="1:44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</row>
    <row r="79" spans="1:44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</row>
    <row r="80" spans="1:44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</row>
    <row r="81" spans="1:44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</row>
    <row r="82" spans="1:44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</row>
    <row r="83" spans="1:44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</row>
    <row r="84" spans="1:44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</row>
    <row r="85" spans="1:44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</row>
    <row r="86" spans="1:44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</row>
    <row r="87" spans="1:44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</row>
    <row r="88" spans="1:44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</row>
    <row r="89" spans="1:44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</row>
    <row r="90" spans="1:44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</row>
    <row r="91" spans="1:44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</row>
    <row r="92" spans="1:44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</row>
    <row r="93" spans="1:44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</row>
    <row r="94" spans="1:44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</row>
    <row r="95" spans="1:44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</row>
    <row r="96" spans="1:44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</row>
    <row r="97" spans="1:44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</row>
    <row r="98" spans="1:44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</row>
    <row r="99" spans="1:44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</row>
    <row r="100" spans="1:44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</row>
    <row r="101" spans="1:44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</row>
    <row r="102" spans="1:44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</row>
    <row r="103" spans="1:44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</row>
    <row r="104" spans="1:44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</row>
    <row r="105" spans="1:44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</row>
    <row r="106" spans="1:44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</row>
    <row r="107" spans="1:44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</row>
    <row r="108" spans="1:44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</row>
    <row r="109" spans="1:44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</row>
    <row r="110" spans="1:44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</row>
    <row r="111" spans="1:44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</row>
    <row r="112" spans="1:44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</row>
    <row r="113" spans="1:44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</row>
    <row r="114" spans="1:44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spans="1:44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</row>
    <row r="116" spans="1:44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</row>
    <row r="117" spans="1:44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</row>
    <row r="118" spans="1:44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</row>
    <row r="119" spans="1:44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</row>
    <row r="120" spans="1:44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</row>
    <row r="121" spans="1:44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</row>
    <row r="122" spans="1:44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</row>
    <row r="123" spans="1:44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</row>
    <row r="124" spans="1:44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</row>
    <row r="125" spans="1:44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</row>
    <row r="126" spans="1:44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</row>
    <row r="127" spans="1:44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</row>
    <row r="128" spans="1:44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</row>
    <row r="129" spans="1:44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</row>
    <row r="130" spans="1:44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</row>
    <row r="131" spans="1:44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</row>
    <row r="132" spans="1:44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</row>
    <row r="133" spans="1:44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</row>
    <row r="134" spans="1:44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</row>
    <row r="135" spans="1:44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</row>
    <row r="136" spans="1:44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</row>
    <row r="137" spans="1:44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</row>
    <row r="138" spans="1:44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</row>
    <row r="139" spans="1:44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</row>
    <row r="140" spans="1:44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</row>
    <row r="141" spans="1:44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</row>
    <row r="142" spans="1:44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</row>
    <row r="143" spans="1:44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</row>
    <row r="144" spans="1:44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</row>
    <row r="145" spans="1:44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</row>
    <row r="146" spans="1:44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</row>
    <row r="147" spans="1:44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</row>
    <row r="148" spans="1:44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</row>
    <row r="149" spans="1:44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</row>
    <row r="150" spans="1:44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</row>
    <row r="151" spans="1:44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</row>
    <row r="152" spans="1:44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</row>
    <row r="153" spans="1:44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</row>
    <row r="154" spans="1:44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</row>
    <row r="155" spans="1:44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</row>
    <row r="156" spans="1:44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</row>
    <row r="157" spans="1:44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</row>
    <row r="158" spans="1:44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</row>
    <row r="159" spans="1:44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</row>
    <row r="160" spans="1:44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</row>
    <row r="161" spans="1:44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</row>
    <row r="162" spans="1:44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</row>
    <row r="163" spans="1:44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</row>
    <row r="164" spans="1:44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</row>
    <row r="165" spans="1:44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</row>
    <row r="166" spans="1:44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</row>
    <row r="167" spans="1:44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</row>
    <row r="168" spans="1:44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</row>
    <row r="169" spans="1:44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</row>
    <row r="170" spans="1:44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</row>
    <row r="171" spans="1:44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</row>
    <row r="172" spans="1:44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</row>
    <row r="173" spans="1:44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</row>
    <row r="174" spans="1:44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</row>
    <row r="175" spans="1:44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</row>
    <row r="176" spans="1:44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</row>
    <row r="177" spans="1:44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</row>
    <row r="178" spans="1:44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</row>
    <row r="179" spans="1:44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</row>
    <row r="180" spans="1:44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</row>
    <row r="181" spans="1:44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</row>
    <row r="182" spans="1:44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</row>
    <row r="183" spans="1:44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</row>
    <row r="184" spans="1:44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</row>
    <row r="185" spans="1:44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</row>
    <row r="186" spans="1:44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</row>
    <row r="187" spans="1:44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</row>
    <row r="188" spans="1:44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</row>
    <row r="189" spans="1:44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</row>
    <row r="190" spans="1:44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</row>
    <row r="191" spans="1:44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</row>
    <row r="192" spans="1:44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</row>
    <row r="193" spans="1:44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</row>
    <row r="194" spans="1:44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</row>
    <row r="195" spans="1:44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</row>
    <row r="196" spans="1:44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</row>
    <row r="197" spans="1:44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</row>
    <row r="198" spans="1:44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</row>
    <row r="199" spans="1:44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</row>
    <row r="200" spans="1:44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</row>
    <row r="201" spans="1:44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</row>
    <row r="202" spans="1:44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</row>
    <row r="203" spans="1:44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2026-01-13T16:27:08Z</dcterms:created>
  <dcterms:modified xsi:type="dcterms:W3CDTF">2026-01-16T21:30:02Z</dcterms:modified>
</cp:coreProperties>
</file>