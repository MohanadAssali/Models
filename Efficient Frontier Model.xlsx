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8912EEF-7BF6-4F09-A8B4-744926C34CA0}" xr6:coauthVersionLast="47" xr6:coauthVersionMax="47" xr10:uidLastSave="{00000000-0000-0000-0000-000000000000}"/>
  <bookViews>
    <workbookView xWindow="4185" yWindow="2550" windowWidth="23805" windowHeight="10755" xr2:uid="{1FE43582-338A-4626-9AF4-EF5302EEAD2E}"/>
  </bookViews>
  <sheets>
    <sheet name="Data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" i="1" l="1"/>
  <c r="L28" i="1"/>
  <c r="M18" i="1"/>
  <c r="M14" i="1"/>
  <c r="N22" i="1" a="1"/>
  <c r="N22" i="1" s="1"/>
  <c r="M22" i="1" a="1"/>
  <c r="M22" i="1" s="1"/>
  <c r="N24" i="1"/>
  <c r="M23" i="1"/>
  <c r="L22" i="1"/>
  <c r="N8" i="1" l="1"/>
  <c r="M8" i="1"/>
  <c r="L8" i="1"/>
  <c r="N7" i="1"/>
  <c r="M7" i="1"/>
  <c r="L7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I3" i="1"/>
  <c r="H3" i="1"/>
  <c r="G3" i="1"/>
  <c r="O9" i="1" l="1"/>
  <c r="L10" i="1" l="1"/>
  <c r="N10" i="1"/>
  <c r="M10" i="1"/>
</calcChain>
</file>

<file path=xl/sharedStrings.xml><?xml version="1.0" encoding="utf-8"?>
<sst xmlns="http://schemas.openxmlformats.org/spreadsheetml/2006/main" count="65" uniqueCount="47">
  <si>
    <t>Date</t>
  </si>
  <si>
    <t>SPY</t>
  </si>
  <si>
    <t>VXUS</t>
  </si>
  <si>
    <t>Historical Prices</t>
  </si>
  <si>
    <t>Standard Deviation</t>
  </si>
  <si>
    <t>BND</t>
  </si>
  <si>
    <t>GLD</t>
  </si>
  <si>
    <t>Log normal daily Returns</t>
  </si>
  <si>
    <t xml:space="preserve">LN(DAY 2 STOCK PRICE DAY / CURRENT STOCK PRICE) </t>
  </si>
  <si>
    <t>Secruity</t>
  </si>
  <si>
    <t>Annual Return</t>
  </si>
  <si>
    <t>Weight</t>
  </si>
  <si>
    <t>Random Array</t>
  </si>
  <si>
    <t>Total</t>
  </si>
  <si>
    <t>Close prices (incl. divid, stock splits)</t>
  </si>
  <si>
    <t xml:space="preserve">ANNUAL RETURN: </t>
  </si>
  <si>
    <t>EXP(AVERAGE(RANGE)*252)-1</t>
  </si>
  <si>
    <t>USUALLY TAKE OVER 10 YEARS.</t>
  </si>
  <si>
    <t>NOW WE ONLY HAVE 1 YEAR OF DATA</t>
  </si>
  <si>
    <t>STANDARD DEVIATION</t>
  </si>
  <si>
    <t xml:space="preserve">LOG NORMAL DAILY RETURNS </t>
  </si>
  <si>
    <t>sqrt(var.p(range)*252)</t>
  </si>
  <si>
    <t>Portfolio Summary</t>
  </si>
  <si>
    <t>expected return</t>
  </si>
  <si>
    <t>standard deviation</t>
  </si>
  <si>
    <t>risk free rate</t>
  </si>
  <si>
    <t>total weight</t>
  </si>
  <si>
    <t>RAND()  THEN SUM ALL - replace RAND VALUES WITH FIXED VALUES</t>
  </si>
  <si>
    <t>SUMPRODUCT(ANNUAL RETURNS , WEIGHTS)</t>
  </si>
  <si>
    <t>Covariance Matrix</t>
  </si>
  <si>
    <t>COVARIANCE MATRIX</t>
  </si>
  <si>
    <t>USE DATA ANALYSIS FUNCTION, SELECT COVARIANCE, SELECT ALL DATA, PASTE INTO THE TABLE</t>
  </si>
  <si>
    <t>EMPTY CELLS</t>
  </si>
  <si>
    <t>TRANSPOSE</t>
  </si>
  <si>
    <t>SQRT(MMULT(MMULT(WEIGHT,COVARIANCE),TRANSPOSE(WEIGHT)*252))</t>
  </si>
  <si>
    <t>sharpe ratio</t>
  </si>
  <si>
    <t>RISK FREE RATE</t>
  </si>
  <si>
    <t>GOOGLE US10 YR TREASURY</t>
  </si>
  <si>
    <t>SHARPE RATIO</t>
  </si>
  <si>
    <t>(EXPECTED RETURN/RISK FREE RATE)/STANDARD DEVIATION</t>
  </si>
  <si>
    <t>Simulation</t>
  </si>
  <si>
    <t>Portfolio St. Dev.</t>
  </si>
  <si>
    <t>Portfolio Return</t>
  </si>
  <si>
    <t>Volatility can never be negative.</t>
  </si>
  <si>
    <t>EXPECTED RETURN</t>
  </si>
  <si>
    <t xml:space="preserve">PORTFOLIO RETURN </t>
  </si>
  <si>
    <t>ANCHOR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</si>
</sst>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9525</xdr:colOff>
      <xdr:row>55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F96B59-D3E0-9AA6-3283-320F9E8B54A7}"/>
            </a:ext>
          </a:extLst>
        </xdr:cNvPr>
        <xdr:cNvCxnSpPr/>
      </xdr:nvCxnSpPr>
      <xdr:spPr>
        <a:xfrm flipH="1">
          <a:off x="5638800" y="0"/>
          <a:ext cx="9525" cy="105251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0</xdr:row>
      <xdr:rowOff>95250</xdr:rowOff>
    </xdr:from>
    <xdr:to>
      <xdr:col>16</xdr:col>
      <xdr:colOff>0</xdr:colOff>
      <xdr:row>55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52F5990-8E29-4398-AC82-150B291AC049}"/>
            </a:ext>
          </a:extLst>
        </xdr:cNvPr>
        <xdr:cNvCxnSpPr/>
      </xdr:nvCxnSpPr>
      <xdr:spPr>
        <a:xfrm flipH="1">
          <a:off x="9896475" y="95250"/>
          <a:ext cx="9525" cy="105441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C14C-1DE7-43EA-AE3F-A51CB255551B}">
  <dimension ref="A1:T1000"/>
  <sheetViews>
    <sheetView tabSelected="1" topLeftCell="F19" workbookViewId="0">
      <selection activeCell="N33" sqref="N33"/>
    </sheetView>
  </sheetViews>
  <sheetFormatPr defaultRowHeight="15" x14ac:dyDescent="0.25"/>
  <cols>
    <col min="1" max="1" width="11.42578125" customWidth="1"/>
    <col min="12" max="12" width="12" customWidth="1"/>
    <col min="13" max="13" width="12" bestFit="1" customWidth="1"/>
  </cols>
  <sheetData>
    <row r="1" spans="1:20" x14ac:dyDescent="0.25">
      <c r="A1" s="2" t="s">
        <v>3</v>
      </c>
      <c r="C1" t="s">
        <v>14</v>
      </c>
      <c r="G1" s="2" t="s">
        <v>7</v>
      </c>
      <c r="K1" t="s">
        <v>8</v>
      </c>
      <c r="L1" s="2"/>
      <c r="O1" s="2"/>
    </row>
    <row r="2" spans="1:20" x14ac:dyDescent="0.25">
      <c r="A2" t="s">
        <v>0</v>
      </c>
      <c r="B2" t="s">
        <v>1</v>
      </c>
      <c r="C2" t="s">
        <v>5</v>
      </c>
      <c r="D2" t="s">
        <v>6</v>
      </c>
      <c r="E2" t="s">
        <v>2</v>
      </c>
      <c r="G2" t="s">
        <v>1</v>
      </c>
      <c r="H2" t="s">
        <v>5</v>
      </c>
      <c r="I2" t="s">
        <v>6</v>
      </c>
    </row>
    <row r="3" spans="1:20" x14ac:dyDescent="0.25">
      <c r="A3" s="1">
        <v>46024</v>
      </c>
      <c r="B3">
        <v>683.17</v>
      </c>
      <c r="C3">
        <v>74.040000000000006</v>
      </c>
      <c r="D3">
        <v>398.28</v>
      </c>
      <c r="E3">
        <v>76.540000000000006</v>
      </c>
      <c r="G3" s="3">
        <f>LN(B4/B3)</f>
        <v>-1.8313815929655781E-3</v>
      </c>
      <c r="H3" s="3">
        <f>LN(C4/C3)</f>
        <v>4.051043199009086E-4</v>
      </c>
      <c r="I3" s="3">
        <f>LN(D4/D3)</f>
        <v>-4.9585422328177276E-3</v>
      </c>
      <c r="K3" s="2" t="s">
        <v>17</v>
      </c>
      <c r="L3" s="2"/>
      <c r="M3" s="2"/>
    </row>
    <row r="4" spans="1:20" x14ac:dyDescent="0.25">
      <c r="A4" s="1">
        <v>46022</v>
      </c>
      <c r="B4">
        <v>681.92</v>
      </c>
      <c r="C4">
        <v>74.069999999999993</v>
      </c>
      <c r="D4">
        <v>396.31</v>
      </c>
      <c r="E4">
        <v>75.44</v>
      </c>
      <c r="G4" s="3">
        <f t="shared" ref="G4:G67" si="0">LN(B5/B4)</f>
        <v>7.436499246915757E-3</v>
      </c>
      <c r="H4" s="3">
        <f t="shared" ref="H4:H67" si="1">LN(C5/C4)</f>
        <v>2.6965096560072062E-3</v>
      </c>
      <c r="I4" s="3">
        <f t="shared" ref="I4:I67" si="2">LN(D5/D4)</f>
        <v>6.4889563704802417E-3</v>
      </c>
      <c r="K4" s="2" t="s">
        <v>18</v>
      </c>
      <c r="L4" s="2"/>
      <c r="M4" s="2"/>
    </row>
    <row r="5" spans="1:20" x14ac:dyDescent="0.25">
      <c r="A5" s="1">
        <v>46021</v>
      </c>
      <c r="B5">
        <v>687.01</v>
      </c>
      <c r="C5">
        <v>74.27</v>
      </c>
      <c r="D5">
        <v>398.89</v>
      </c>
      <c r="E5">
        <v>75.760000000000005</v>
      </c>
      <c r="G5" s="3">
        <f t="shared" si="0"/>
        <v>1.22194274983647E-3</v>
      </c>
      <c r="H5" s="3">
        <f t="shared" si="1"/>
        <v>4.0385004250850499E-4</v>
      </c>
      <c r="I5" s="3">
        <f t="shared" si="2"/>
        <v>-7.272818788514921E-4</v>
      </c>
      <c r="Q5" t="s">
        <v>20</v>
      </c>
      <c r="T5" t="s">
        <v>8</v>
      </c>
    </row>
    <row r="6" spans="1:20" x14ac:dyDescent="0.25">
      <c r="A6" s="1">
        <v>46020</v>
      </c>
      <c r="B6">
        <v>687.85</v>
      </c>
      <c r="C6">
        <v>74.3</v>
      </c>
      <c r="D6">
        <v>398.6</v>
      </c>
      <c r="E6">
        <v>75.61</v>
      </c>
      <c r="G6" s="3">
        <f t="shared" si="0"/>
        <v>3.5699811526619966E-3</v>
      </c>
      <c r="H6" s="3">
        <f t="shared" si="1"/>
        <v>-1.4815815222789662E-3</v>
      </c>
      <c r="I6" s="3">
        <f t="shared" si="2"/>
        <v>4.4504118363359754E-2</v>
      </c>
      <c r="K6" t="s">
        <v>9</v>
      </c>
      <c r="L6" t="s">
        <v>1</v>
      </c>
      <c r="M6" t="s">
        <v>5</v>
      </c>
      <c r="N6" t="s">
        <v>6</v>
      </c>
      <c r="O6" t="s">
        <v>13</v>
      </c>
      <c r="Q6" t="s">
        <v>15</v>
      </c>
      <c r="T6" t="s">
        <v>16</v>
      </c>
    </row>
    <row r="7" spans="1:20" x14ac:dyDescent="0.25">
      <c r="A7" s="1">
        <v>46017</v>
      </c>
      <c r="B7">
        <v>690.31</v>
      </c>
      <c r="C7">
        <v>74.19</v>
      </c>
      <c r="D7">
        <v>416.74</v>
      </c>
      <c r="E7">
        <v>75.849999999999994</v>
      </c>
      <c r="G7" s="3">
        <f t="shared" si="0"/>
        <v>1.0139857616132563E-4</v>
      </c>
      <c r="H7" s="3">
        <f t="shared" si="1"/>
        <v>0</v>
      </c>
      <c r="I7" s="3">
        <f t="shared" si="2"/>
        <v>-1.1609094140284094E-2</v>
      </c>
      <c r="K7" t="s">
        <v>10</v>
      </c>
      <c r="L7" s="3">
        <f>EXP(AVERAGE(G3:G250)*252)-1</f>
        <v>-0.13046479506058928</v>
      </c>
      <c r="M7" s="3">
        <f t="shared" ref="M7:N7" si="3">EXP(AVERAGE(H3:H250)*252)-1</f>
        <v>-3.1008651653537278E-2</v>
      </c>
      <c r="N7" s="3">
        <f t="shared" si="3"/>
        <v>-0.39423847520390765</v>
      </c>
      <c r="O7" s="4"/>
      <c r="Q7" t="s">
        <v>19</v>
      </c>
      <c r="T7" t="s">
        <v>21</v>
      </c>
    </row>
    <row r="8" spans="1:20" x14ac:dyDescent="0.25">
      <c r="A8" s="1">
        <v>46015</v>
      </c>
      <c r="B8">
        <v>690.38</v>
      </c>
      <c r="C8">
        <v>74.19</v>
      </c>
      <c r="D8">
        <v>411.93</v>
      </c>
      <c r="E8">
        <v>75.61</v>
      </c>
      <c r="G8" s="3">
        <f t="shared" si="0"/>
        <v>-3.5114739275360811E-3</v>
      </c>
      <c r="H8" s="3">
        <f t="shared" si="1"/>
        <v>-2.4291509920593658E-3</v>
      </c>
      <c r="I8" s="3">
        <f t="shared" si="2"/>
        <v>4.1425983150041789E-3</v>
      </c>
      <c r="K8" t="s">
        <v>4</v>
      </c>
      <c r="L8" s="3">
        <f>SQRT(_xlfn.VAR.P(G3:G250)*252)</f>
        <v>0.19313730098540779</v>
      </c>
      <c r="M8" s="3">
        <f t="shared" ref="M8:N8" si="4">SQRT(_xlfn.VAR.P(H3:H250)*252)</f>
        <v>4.5713230974599575E-2</v>
      </c>
      <c r="N8" s="3">
        <f t="shared" si="4"/>
        <v>0.1987886738435504</v>
      </c>
      <c r="Q8" t="s">
        <v>12</v>
      </c>
      <c r="T8" t="s">
        <v>27</v>
      </c>
    </row>
    <row r="9" spans="1:20" x14ac:dyDescent="0.25">
      <c r="A9" s="1">
        <v>46014</v>
      </c>
      <c r="B9">
        <v>687.96</v>
      </c>
      <c r="C9">
        <v>74.010000000000005</v>
      </c>
      <c r="D9">
        <v>413.64</v>
      </c>
      <c r="E9">
        <v>75.55</v>
      </c>
      <c r="G9" s="3">
        <f t="shared" si="0"/>
        <v>-4.5600644291048046E-3</v>
      </c>
      <c r="H9" s="3">
        <f t="shared" si="1"/>
        <v>1.3510774863475548E-4</v>
      </c>
      <c r="I9" s="3">
        <f t="shared" si="2"/>
        <v>-1.3165289255941046E-2</v>
      </c>
      <c r="K9" t="s">
        <v>12</v>
      </c>
      <c r="L9" s="3">
        <v>0.34499999999999997</v>
      </c>
      <c r="M9" s="3">
        <v>0.50590000000000002</v>
      </c>
      <c r="N9" s="3">
        <v>0.1182</v>
      </c>
      <c r="O9" s="3">
        <f>SUM(L9:N9)</f>
        <v>0.96909999999999996</v>
      </c>
      <c r="Q9" t="s">
        <v>23</v>
      </c>
      <c r="T9" t="s">
        <v>28</v>
      </c>
    </row>
    <row r="10" spans="1:20" x14ac:dyDescent="0.25">
      <c r="A10" s="1">
        <v>46013</v>
      </c>
      <c r="B10">
        <v>684.83</v>
      </c>
      <c r="C10">
        <v>74.02</v>
      </c>
      <c r="D10">
        <v>408.23</v>
      </c>
      <c r="E10">
        <v>75.09</v>
      </c>
      <c r="G10" s="3">
        <f t="shared" si="0"/>
        <v>-6.2105632383370364E-3</v>
      </c>
      <c r="H10" s="3">
        <f t="shared" si="1"/>
        <v>2.7016074728697403E-4</v>
      </c>
      <c r="I10" s="3">
        <f t="shared" si="2"/>
        <v>-2.2819200113918116E-2</v>
      </c>
      <c r="K10" t="s">
        <v>11</v>
      </c>
      <c r="L10" s="3">
        <f>L9/$O$9</f>
        <v>0.35600041275410171</v>
      </c>
      <c r="M10" s="3">
        <f t="shared" ref="M10:N10" si="5">M9/$O$9</f>
        <v>0.52203075018057998</v>
      </c>
      <c r="N10" s="3">
        <f t="shared" si="5"/>
        <v>0.12196883706531834</v>
      </c>
    </row>
    <row r="11" spans="1:20" x14ac:dyDescent="0.25">
      <c r="A11" s="1">
        <v>46010</v>
      </c>
      <c r="B11">
        <v>680.59</v>
      </c>
      <c r="C11">
        <v>74.040000000000006</v>
      </c>
      <c r="D11">
        <v>399.02</v>
      </c>
      <c r="E11">
        <v>74.67</v>
      </c>
      <c r="G11" s="3">
        <f t="shared" si="0"/>
        <v>-6.071968311320025E-3</v>
      </c>
      <c r="H11" s="3">
        <f t="shared" si="1"/>
        <v>1.484580878644344E-3</v>
      </c>
      <c r="I11" s="3">
        <f t="shared" si="2"/>
        <v>-1.1283994226311857E-3</v>
      </c>
      <c r="L11" s="3"/>
      <c r="M11" s="3"/>
      <c r="N11" s="3"/>
    </row>
    <row r="12" spans="1:20" x14ac:dyDescent="0.25">
      <c r="A12" s="1">
        <v>46009</v>
      </c>
      <c r="B12">
        <v>676.47</v>
      </c>
      <c r="C12">
        <v>74.150000000000006</v>
      </c>
      <c r="D12">
        <v>398.57</v>
      </c>
      <c r="E12">
        <v>75.569999999999993</v>
      </c>
      <c r="G12" s="3">
        <f t="shared" si="0"/>
        <v>-7.5230161835953754E-3</v>
      </c>
      <c r="H12" s="3">
        <f t="shared" si="1"/>
        <v>1.2130198940038584E-3</v>
      </c>
      <c r="I12" s="3">
        <f t="shared" si="2"/>
        <v>1.8048284045932524E-3</v>
      </c>
    </row>
    <row r="13" spans="1:20" x14ac:dyDescent="0.25">
      <c r="A13" s="1">
        <v>46008</v>
      </c>
      <c r="B13">
        <v>671.4</v>
      </c>
      <c r="C13">
        <v>74.239999999999995</v>
      </c>
      <c r="D13">
        <v>399.29</v>
      </c>
      <c r="E13">
        <v>74.959999999999994</v>
      </c>
      <c r="G13" s="3">
        <f t="shared" si="0"/>
        <v>1.1064566655824467E-2</v>
      </c>
      <c r="H13" s="3">
        <f t="shared" si="1"/>
        <v>2.6936027098894912E-4</v>
      </c>
      <c r="I13" s="3">
        <f t="shared" si="2"/>
        <v>-8.5515750395672736E-3</v>
      </c>
      <c r="K13" s="2" t="s">
        <v>22</v>
      </c>
    </row>
    <row r="14" spans="1:20" x14ac:dyDescent="0.25">
      <c r="A14" s="1">
        <v>46007</v>
      </c>
      <c r="B14">
        <v>678.87</v>
      </c>
      <c r="C14">
        <v>74.260000000000005</v>
      </c>
      <c r="D14">
        <v>395.89</v>
      </c>
      <c r="E14">
        <v>75.459999999999994</v>
      </c>
      <c r="G14" s="3">
        <f t="shared" si="0"/>
        <v>2.7361005595294145E-3</v>
      </c>
      <c r="H14" s="3">
        <f t="shared" si="1"/>
        <v>-1.8870473317749656E-3</v>
      </c>
      <c r="I14" s="3">
        <f t="shared" si="2"/>
        <v>-2.2736172084442623E-4</v>
      </c>
      <c r="K14" t="s">
        <v>23</v>
      </c>
      <c r="M14" s="3">
        <f>SUMPRODUCT(L7:N7,L10:N10)</f>
        <v>-0.11071779892325838</v>
      </c>
    </row>
    <row r="15" spans="1:20" x14ac:dyDescent="0.25">
      <c r="A15" s="1">
        <v>46006</v>
      </c>
      <c r="B15">
        <v>680.73</v>
      </c>
      <c r="C15">
        <v>74.12</v>
      </c>
      <c r="D15">
        <v>395.8</v>
      </c>
      <c r="E15">
        <v>75.87</v>
      </c>
      <c r="G15" s="3">
        <f t="shared" si="0"/>
        <v>1.5119379903136263E-3</v>
      </c>
      <c r="H15" s="3">
        <f t="shared" si="1"/>
        <v>-1.2149849621521057E-3</v>
      </c>
      <c r="I15" s="3">
        <f t="shared" si="2"/>
        <v>-9.0996416976152599E-4</v>
      </c>
      <c r="K15" t="s">
        <v>24</v>
      </c>
      <c r="M15" s="3">
        <v>0.05</v>
      </c>
      <c r="N15" t="s">
        <v>43</v>
      </c>
    </row>
    <row r="16" spans="1:20" x14ac:dyDescent="0.25">
      <c r="A16" s="1">
        <v>46003</v>
      </c>
      <c r="B16">
        <v>681.76</v>
      </c>
      <c r="C16">
        <v>74.03</v>
      </c>
      <c r="D16">
        <v>395.44</v>
      </c>
      <c r="E16">
        <v>75.61</v>
      </c>
      <c r="G16" s="3">
        <f t="shared" si="0"/>
        <v>1.0810285225808817E-2</v>
      </c>
      <c r="H16" s="3">
        <f t="shared" si="1"/>
        <v>3.1020322939271515E-3</v>
      </c>
      <c r="I16" s="3">
        <f t="shared" si="2"/>
        <v>-5.5789564999802572E-3</v>
      </c>
      <c r="K16" t="s">
        <v>25</v>
      </c>
      <c r="M16" s="3">
        <v>4.1700000000000001E-2</v>
      </c>
    </row>
    <row r="17" spans="1:20" x14ac:dyDescent="0.25">
      <c r="A17" s="1">
        <v>46002</v>
      </c>
      <c r="B17">
        <v>689.17</v>
      </c>
      <c r="C17">
        <v>74.260000000000005</v>
      </c>
      <c r="D17">
        <v>393.24</v>
      </c>
      <c r="E17">
        <v>76.13</v>
      </c>
      <c r="G17" s="3">
        <f t="shared" si="0"/>
        <v>-2.3243324379853807E-3</v>
      </c>
      <c r="H17" s="3">
        <f t="shared" si="1"/>
        <v>0</v>
      </c>
      <c r="I17" s="3">
        <f t="shared" si="2"/>
        <v>-1.0712242435784416E-2</v>
      </c>
      <c r="K17" t="s">
        <v>26</v>
      </c>
      <c r="M17" s="3">
        <v>1</v>
      </c>
    </row>
    <row r="18" spans="1:20" x14ac:dyDescent="0.25">
      <c r="A18" s="1">
        <v>46001</v>
      </c>
      <c r="B18">
        <v>687.57</v>
      </c>
      <c r="C18">
        <v>74.260000000000005</v>
      </c>
      <c r="D18">
        <v>389.05</v>
      </c>
      <c r="E18">
        <v>75.930000000000007</v>
      </c>
      <c r="G18" s="3">
        <f t="shared" si="0"/>
        <v>-6.610219529773525E-3</v>
      </c>
      <c r="H18" s="3">
        <f t="shared" si="1"/>
        <v>-2.9669610436373057E-3</v>
      </c>
      <c r="I18" s="3">
        <f t="shared" si="2"/>
        <v>-4.2501190900437443E-3</v>
      </c>
      <c r="K18" t="s">
        <v>35</v>
      </c>
      <c r="M18" s="3">
        <f>M14-M16</f>
        <v>-0.15241779892325838</v>
      </c>
    </row>
    <row r="19" spans="1:20" x14ac:dyDescent="0.25">
      <c r="A19" s="1">
        <v>46000</v>
      </c>
      <c r="B19">
        <v>683.04</v>
      </c>
      <c r="C19">
        <v>74.040000000000006</v>
      </c>
      <c r="D19">
        <v>387.4</v>
      </c>
      <c r="E19">
        <v>75.12</v>
      </c>
      <c r="G19" s="3">
        <f t="shared" si="0"/>
        <v>8.6341258190022823E-4</v>
      </c>
      <c r="H19" s="3">
        <f t="shared" si="1"/>
        <v>6.7508272326866688E-4</v>
      </c>
      <c r="I19" s="3">
        <f t="shared" si="2"/>
        <v>-5.1241022031208493E-3</v>
      </c>
    </row>
    <row r="20" spans="1:20" ht="15.75" thickBot="1" x14ac:dyDescent="0.3">
      <c r="A20" s="1">
        <v>45999</v>
      </c>
      <c r="B20">
        <v>683.63</v>
      </c>
      <c r="C20">
        <v>74.09</v>
      </c>
      <c r="D20">
        <v>385.42</v>
      </c>
      <c r="E20">
        <v>75.22</v>
      </c>
      <c r="G20" s="3">
        <f t="shared" si="0"/>
        <v>3.0087949552652813E-3</v>
      </c>
      <c r="H20" s="3">
        <f t="shared" si="1"/>
        <v>1.4835797447691397E-3</v>
      </c>
      <c r="I20" s="3">
        <f t="shared" si="2"/>
        <v>2.6429678795342952E-3</v>
      </c>
      <c r="K20" s="2" t="s">
        <v>29</v>
      </c>
      <c r="Q20" t="s">
        <v>30</v>
      </c>
      <c r="T20" t="s">
        <v>31</v>
      </c>
    </row>
    <row r="21" spans="1:20" x14ac:dyDescent="0.25">
      <c r="A21" s="1">
        <v>45996</v>
      </c>
      <c r="B21">
        <v>685.69</v>
      </c>
      <c r="C21">
        <v>74.2</v>
      </c>
      <c r="D21">
        <v>386.44</v>
      </c>
      <c r="E21">
        <v>75.38</v>
      </c>
      <c r="G21" s="3">
        <f t="shared" si="0"/>
        <v>-1.8976999739243575E-3</v>
      </c>
      <c r="H21" s="3">
        <f t="shared" si="1"/>
        <v>1.2122029903801695E-3</v>
      </c>
      <c r="I21" s="3">
        <f t="shared" si="2"/>
        <v>1.7839372855459042E-3</v>
      </c>
      <c r="K21" s="6"/>
      <c r="L21" s="6" t="s">
        <v>1</v>
      </c>
      <c r="M21" s="6" t="s">
        <v>5</v>
      </c>
      <c r="N21" s="6" t="s">
        <v>6</v>
      </c>
      <c r="Q21" t="s">
        <v>32</v>
      </c>
      <c r="R21" s="7"/>
      <c r="T21" t="s">
        <v>33</v>
      </c>
    </row>
    <row r="22" spans="1:20" x14ac:dyDescent="0.25">
      <c r="A22" s="1">
        <v>45995</v>
      </c>
      <c r="B22">
        <v>684.39</v>
      </c>
      <c r="C22">
        <v>74.290000000000006</v>
      </c>
      <c r="D22">
        <v>387.13</v>
      </c>
      <c r="E22">
        <v>75.23</v>
      </c>
      <c r="G22" s="3">
        <f t="shared" si="0"/>
        <v>-7.3084459650888116E-4</v>
      </c>
      <c r="H22" s="3">
        <f t="shared" si="1"/>
        <v>1.882733208104382E-3</v>
      </c>
      <c r="I22" s="3">
        <f t="shared" si="2"/>
        <v>-6.4598650842686471E-4</v>
      </c>
      <c r="K22" t="s">
        <v>1</v>
      </c>
      <c r="L22">
        <f>VARP(Data!$G$3:$G$250)</f>
        <v>1.4802387711082541E-4</v>
      </c>
      <c r="M22">
        <f t="array" ref="M22">TRANSPOSE(L23:L24)</f>
        <v>3.5529378819063265E-6</v>
      </c>
      <c r="N22">
        <f t="array" ref="N22">TRANSPOSE(M23:M24)</f>
        <v>8.2924582783217864E-6</v>
      </c>
      <c r="Q22" t="s">
        <v>19</v>
      </c>
      <c r="T22" t="s">
        <v>34</v>
      </c>
    </row>
    <row r="23" spans="1:20" ht="15.75" thickBot="1" x14ac:dyDescent="0.3">
      <c r="A23" s="1">
        <v>45994</v>
      </c>
      <c r="B23">
        <v>683.89</v>
      </c>
      <c r="C23">
        <v>74.430000000000007</v>
      </c>
      <c r="D23">
        <v>386.88</v>
      </c>
      <c r="E23">
        <v>75.069999999999993</v>
      </c>
      <c r="G23" s="3">
        <f t="shared" si="0"/>
        <v>-3.4568152657526367E-3</v>
      </c>
      <c r="H23" s="3">
        <f t="shared" si="1"/>
        <v>-1.4789918662364858E-3</v>
      </c>
      <c r="I23" s="3">
        <f t="shared" si="2"/>
        <v>9.3008842544285274E-4</v>
      </c>
      <c r="K23" t="s">
        <v>5</v>
      </c>
      <c r="L23">
        <v>3.5529378819063265E-6</v>
      </c>
      <c r="M23">
        <f>VARP(Data!$H$3:$H$250)</f>
        <v>8.2924582783217864E-6</v>
      </c>
      <c r="N23" s="8">
        <v>2.5216381712903301E-6</v>
      </c>
      <c r="Q23" t="s">
        <v>36</v>
      </c>
      <c r="T23" t="s">
        <v>37</v>
      </c>
    </row>
    <row r="24" spans="1:20" ht="15.75" thickBot="1" x14ac:dyDescent="0.3">
      <c r="A24" s="1">
        <v>45993</v>
      </c>
      <c r="B24">
        <v>681.53</v>
      </c>
      <c r="C24">
        <v>74.319999999999993</v>
      </c>
      <c r="D24">
        <v>387.24</v>
      </c>
      <c r="E24">
        <v>74.77</v>
      </c>
      <c r="G24" s="3">
        <f t="shared" si="0"/>
        <v>-1.8504925239445883E-3</v>
      </c>
      <c r="H24" s="3">
        <f t="shared" si="1"/>
        <v>-9.4231682277399998E-4</v>
      </c>
      <c r="I24" s="3">
        <f t="shared" si="2"/>
        <v>6.4608520860151885E-3</v>
      </c>
      <c r="K24" s="5" t="s">
        <v>6</v>
      </c>
      <c r="L24" s="5">
        <v>4.1816179035674479E-6</v>
      </c>
      <c r="M24" s="5">
        <v>2.5216381712903271E-6</v>
      </c>
      <c r="N24" s="5">
        <f>VARP(Data!$I$3:$I$250)</f>
        <v>1.5681324146221213E-4</v>
      </c>
      <c r="Q24" t="s">
        <v>38</v>
      </c>
      <c r="T24" t="s">
        <v>39</v>
      </c>
    </row>
    <row r="25" spans="1:20" x14ac:dyDescent="0.25">
      <c r="A25" s="1">
        <v>45992</v>
      </c>
      <c r="B25">
        <v>680.27</v>
      </c>
      <c r="C25">
        <v>74.25</v>
      </c>
      <c r="D25">
        <v>389.75</v>
      </c>
      <c r="E25">
        <v>74.650000000000006</v>
      </c>
      <c r="G25" s="3">
        <f t="shared" si="0"/>
        <v>4.5759286686858263E-3</v>
      </c>
      <c r="H25" s="3">
        <f t="shared" si="1"/>
        <v>7.1126918661586326E-3</v>
      </c>
      <c r="I25" s="3">
        <f t="shared" si="2"/>
        <v>-4.8094945015403883E-3</v>
      </c>
      <c r="P25" t="s">
        <v>46</v>
      </c>
      <c r="Q25" t="s">
        <v>41</v>
      </c>
      <c r="T25" t="s">
        <v>19</v>
      </c>
    </row>
    <row r="26" spans="1:20" x14ac:dyDescent="0.25">
      <c r="A26" s="1">
        <v>45989</v>
      </c>
      <c r="B26">
        <v>683.39</v>
      </c>
      <c r="C26">
        <v>74.78</v>
      </c>
      <c r="D26">
        <v>387.88</v>
      </c>
      <c r="E26">
        <v>74.94</v>
      </c>
      <c r="G26" s="3">
        <f t="shared" si="0"/>
        <v>-5.4436076819084564E-3</v>
      </c>
      <c r="H26" s="3">
        <f t="shared" si="1"/>
        <v>1.6034209742062054E-3</v>
      </c>
      <c r="I26" s="3">
        <f t="shared" si="2"/>
        <v>-1.2347757401991564E-2</v>
      </c>
      <c r="Q26" t="s">
        <v>45</v>
      </c>
      <c r="T26" t="s">
        <v>44</v>
      </c>
    </row>
    <row r="27" spans="1:20" x14ac:dyDescent="0.25">
      <c r="A27" s="1">
        <v>45987</v>
      </c>
      <c r="B27">
        <v>679.68</v>
      </c>
      <c r="C27">
        <v>74.900000000000006</v>
      </c>
      <c r="D27">
        <v>383.12</v>
      </c>
      <c r="E27">
        <v>74.61</v>
      </c>
      <c r="G27" s="3">
        <f t="shared" si="0"/>
        <v>-6.8797791102539543E-3</v>
      </c>
      <c r="H27" s="3">
        <f t="shared" si="1"/>
        <v>-1.0686616031738349E-3</v>
      </c>
      <c r="I27" s="3">
        <f t="shared" si="2"/>
        <v>-7.9664991556881309E-3</v>
      </c>
      <c r="L27" t="s">
        <v>41</v>
      </c>
      <c r="M27" t="s">
        <v>42</v>
      </c>
    </row>
    <row r="28" spans="1:20" x14ac:dyDescent="0.25">
      <c r="A28" s="1">
        <v>45986</v>
      </c>
      <c r="B28">
        <v>675.02</v>
      </c>
      <c r="C28">
        <v>74.819999999999993</v>
      </c>
      <c r="D28">
        <v>380.08</v>
      </c>
      <c r="E28">
        <v>73.91</v>
      </c>
      <c r="G28" s="3">
        <f t="shared" si="0"/>
        <v>-9.3619288422599426E-3</v>
      </c>
      <c r="H28" s="3">
        <f t="shared" si="1"/>
        <v>-2.2747049348005037E-3</v>
      </c>
      <c r="I28" s="3">
        <f t="shared" si="2"/>
        <v>3.1567317566283192E-4</v>
      </c>
      <c r="K28" s="2" t="s">
        <v>40</v>
      </c>
      <c r="L28" s="3">
        <f>M15</f>
        <v>0.05</v>
      </c>
      <c r="M28" s="3">
        <f>M14</f>
        <v>-0.11071779892325838</v>
      </c>
    </row>
    <row r="29" spans="1:20" x14ac:dyDescent="0.25">
      <c r="A29" s="1">
        <v>45985</v>
      </c>
      <c r="B29">
        <v>668.73</v>
      </c>
      <c r="C29">
        <v>74.650000000000006</v>
      </c>
      <c r="D29">
        <v>380.2</v>
      </c>
      <c r="E29">
        <v>73.23</v>
      </c>
      <c r="G29" s="3">
        <f t="shared" si="0"/>
        <v>-1.4611334234122017E-2</v>
      </c>
      <c r="H29" s="3">
        <f t="shared" si="1"/>
        <v>-1.7429782518117993E-3</v>
      </c>
      <c r="I29" s="3">
        <f t="shared" si="2"/>
        <v>-1.5719967968707598E-2</v>
      </c>
      <c r="K29">
        <v>1</v>
      </c>
      <c r="L29" s="3">
        <f t="dataTable" ref="L29:M1000" dt2D="0" dtr="0" r1="S34"/>
        <v>0.05</v>
      </c>
      <c r="M29" s="3">
        <v>-0.11071779892325838</v>
      </c>
    </row>
    <row r="30" spans="1:20" x14ac:dyDescent="0.25">
      <c r="A30" s="1">
        <v>45982</v>
      </c>
      <c r="B30">
        <v>659.03</v>
      </c>
      <c r="C30">
        <v>74.52</v>
      </c>
      <c r="D30">
        <v>374.27</v>
      </c>
      <c r="E30">
        <v>72.92</v>
      </c>
      <c r="G30" s="3">
        <f t="shared" si="0"/>
        <v>-9.9119418353964955E-3</v>
      </c>
      <c r="H30" s="3">
        <f t="shared" si="1"/>
        <v>-2.4183808642815269E-3</v>
      </c>
      <c r="I30" s="3">
        <f t="shared" si="2"/>
        <v>1.5484838634500157E-3</v>
      </c>
      <c r="K30">
        <v>2</v>
      </c>
      <c r="L30" s="3">
        <v>0.05</v>
      </c>
      <c r="M30" s="3">
        <v>-0.11071779892325838</v>
      </c>
    </row>
    <row r="31" spans="1:20" x14ac:dyDescent="0.25">
      <c r="A31" s="1">
        <v>45981</v>
      </c>
      <c r="B31">
        <v>652.53</v>
      </c>
      <c r="C31">
        <v>74.34</v>
      </c>
      <c r="D31">
        <v>374.85</v>
      </c>
      <c r="E31">
        <v>72.19</v>
      </c>
      <c r="G31" s="3">
        <f t="shared" si="0"/>
        <v>1.5359649874154606E-2</v>
      </c>
      <c r="H31" s="3">
        <f t="shared" si="1"/>
        <v>-1.4807837396505106E-3</v>
      </c>
      <c r="I31" s="3">
        <f t="shared" si="2"/>
        <v>2.9340766537957151E-4</v>
      </c>
      <c r="K31">
        <v>3</v>
      </c>
      <c r="L31" s="3">
        <v>0.05</v>
      </c>
      <c r="M31" s="3">
        <v>-0.11071779892325838</v>
      </c>
    </row>
    <row r="32" spans="1:20" x14ac:dyDescent="0.25">
      <c r="A32" s="1">
        <v>45980</v>
      </c>
      <c r="B32">
        <v>662.63</v>
      </c>
      <c r="C32">
        <v>74.23</v>
      </c>
      <c r="D32">
        <v>374.96</v>
      </c>
      <c r="E32">
        <v>73.16</v>
      </c>
      <c r="G32" s="3">
        <f t="shared" si="0"/>
        <v>-3.8557252294989484E-3</v>
      </c>
      <c r="H32" s="3">
        <f t="shared" si="1"/>
        <v>4.0406761947850965E-4</v>
      </c>
      <c r="I32" s="3">
        <f t="shared" si="2"/>
        <v>-1.6281649377563091E-3</v>
      </c>
      <c r="K32">
        <v>4</v>
      </c>
      <c r="L32" s="3">
        <v>0.05</v>
      </c>
      <c r="M32" s="3">
        <v>-0.11071779892325838</v>
      </c>
    </row>
    <row r="33" spans="1:13" x14ac:dyDescent="0.25">
      <c r="A33" s="1">
        <v>45979</v>
      </c>
      <c r="B33">
        <v>660.08</v>
      </c>
      <c r="C33">
        <v>74.260000000000005</v>
      </c>
      <c r="D33">
        <v>374.35</v>
      </c>
      <c r="E33">
        <v>73.349999999999994</v>
      </c>
      <c r="G33" s="3">
        <f t="shared" si="0"/>
        <v>8.4330124503470497E-3</v>
      </c>
      <c r="H33" s="3">
        <f t="shared" si="1"/>
        <v>-8.0829857559927857E-4</v>
      </c>
      <c r="I33" s="3">
        <f t="shared" si="2"/>
        <v>-7.2386375053918239E-3</v>
      </c>
      <c r="K33">
        <v>5</v>
      </c>
      <c r="L33" s="3">
        <v>0.05</v>
      </c>
      <c r="M33" s="3">
        <v>-0.11071779892325838</v>
      </c>
    </row>
    <row r="34" spans="1:13" x14ac:dyDescent="0.25">
      <c r="A34" s="1">
        <v>45978</v>
      </c>
      <c r="B34">
        <v>665.67</v>
      </c>
      <c r="C34">
        <v>74.2</v>
      </c>
      <c r="D34">
        <v>371.65</v>
      </c>
      <c r="E34">
        <v>74</v>
      </c>
      <c r="G34" s="3">
        <f t="shared" si="0"/>
        <v>9.3601161843239657E-3</v>
      </c>
      <c r="H34" s="3">
        <f t="shared" si="1"/>
        <v>-5.3922891573508248E-4</v>
      </c>
      <c r="I34" s="3">
        <f t="shared" si="2"/>
        <v>1.1530203580798258E-2</v>
      </c>
      <c r="K34">
        <v>6</v>
      </c>
      <c r="L34" s="3">
        <v>0.05</v>
      </c>
      <c r="M34" s="3">
        <v>-0.11071779892325838</v>
      </c>
    </row>
    <row r="35" spans="1:13" x14ac:dyDescent="0.25">
      <c r="A35" s="1">
        <v>45975</v>
      </c>
      <c r="B35">
        <v>671.93</v>
      </c>
      <c r="C35">
        <v>74.16</v>
      </c>
      <c r="D35">
        <v>375.96</v>
      </c>
      <c r="E35">
        <v>74.930000000000007</v>
      </c>
      <c r="G35" s="3">
        <f t="shared" si="0"/>
        <v>1.6369413044289125E-4</v>
      </c>
      <c r="H35" s="3">
        <f t="shared" si="1"/>
        <v>1.4821804236053639E-3</v>
      </c>
      <c r="I35" s="3">
        <f t="shared" si="2"/>
        <v>1.821275122317503E-2</v>
      </c>
      <c r="K35">
        <v>7</v>
      </c>
      <c r="L35" s="3">
        <v>0.05</v>
      </c>
      <c r="M35" s="3">
        <v>-0.11071779892325838</v>
      </c>
    </row>
    <row r="36" spans="1:13" x14ac:dyDescent="0.25">
      <c r="A36" s="1">
        <v>45974</v>
      </c>
      <c r="B36">
        <v>672.04</v>
      </c>
      <c r="C36">
        <v>74.27</v>
      </c>
      <c r="D36">
        <v>382.87</v>
      </c>
      <c r="E36">
        <v>74.989999999999995</v>
      </c>
      <c r="G36" s="3">
        <f t="shared" si="0"/>
        <v>1.6733211254230326E-2</v>
      </c>
      <c r="H36" s="3">
        <f t="shared" si="1"/>
        <v>2.9577865069798262E-3</v>
      </c>
      <c r="I36" s="3">
        <f t="shared" si="2"/>
        <v>8.115956418218816E-3</v>
      </c>
      <c r="K36">
        <v>8</v>
      </c>
      <c r="L36" s="3">
        <v>0.05</v>
      </c>
      <c r="M36" s="3">
        <v>-0.11071779892325838</v>
      </c>
    </row>
    <row r="37" spans="1:13" x14ac:dyDescent="0.25">
      <c r="A37" s="1">
        <v>45973</v>
      </c>
      <c r="B37">
        <v>683.38</v>
      </c>
      <c r="C37">
        <v>74.489999999999995</v>
      </c>
      <c r="D37">
        <v>385.99</v>
      </c>
      <c r="E37">
        <v>75.819999999999993</v>
      </c>
      <c r="G37" s="3">
        <f t="shared" si="0"/>
        <v>-5.5621424464177892E-4</v>
      </c>
      <c r="H37" s="3">
        <f t="shared" si="1"/>
        <v>4.0265754520282229E-4</v>
      </c>
      <c r="I37" s="3">
        <f t="shared" si="2"/>
        <v>-1.5982373467575948E-2</v>
      </c>
      <c r="K37">
        <v>9</v>
      </c>
      <c r="L37" s="3">
        <v>0.05</v>
      </c>
      <c r="M37" s="3">
        <v>-0.11071779892325838</v>
      </c>
    </row>
    <row r="38" spans="1:13" x14ac:dyDescent="0.25">
      <c r="A38" s="1">
        <v>45972</v>
      </c>
      <c r="B38">
        <v>683</v>
      </c>
      <c r="C38">
        <v>74.52</v>
      </c>
      <c r="D38">
        <v>379.87</v>
      </c>
      <c r="E38">
        <v>75.53</v>
      </c>
      <c r="G38" s="3">
        <f t="shared" si="0"/>
        <v>-2.2866533958866204E-3</v>
      </c>
      <c r="H38" s="3">
        <f t="shared" si="1"/>
        <v>-2.8220135640097273E-3</v>
      </c>
      <c r="I38" s="3">
        <f t="shared" si="2"/>
        <v>-3.9301072676450758E-3</v>
      </c>
      <c r="K38">
        <v>10</v>
      </c>
      <c r="L38" s="3">
        <v>0.05</v>
      </c>
      <c r="M38" s="3">
        <v>-0.11071779892325838</v>
      </c>
    </row>
    <row r="39" spans="1:13" x14ac:dyDescent="0.25">
      <c r="A39" s="1">
        <v>45971</v>
      </c>
      <c r="B39">
        <v>681.44</v>
      </c>
      <c r="C39">
        <v>74.31</v>
      </c>
      <c r="D39">
        <v>378.38</v>
      </c>
      <c r="E39">
        <v>75.13</v>
      </c>
      <c r="G39" s="3">
        <f t="shared" si="0"/>
        <v>-1.5483779591687853E-2</v>
      </c>
      <c r="H39" s="3">
        <f t="shared" si="1"/>
        <v>2.6910656782412959E-4</v>
      </c>
      <c r="I39" s="3">
        <f t="shared" si="2"/>
        <v>-2.6974006797414997E-2</v>
      </c>
      <c r="K39">
        <v>11</v>
      </c>
      <c r="L39" s="3">
        <v>0.05</v>
      </c>
      <c r="M39" s="3">
        <v>-0.11071779892325838</v>
      </c>
    </row>
    <row r="40" spans="1:13" x14ac:dyDescent="0.25">
      <c r="A40" s="1">
        <v>45968</v>
      </c>
      <c r="B40">
        <v>670.97</v>
      </c>
      <c r="C40">
        <v>74.33</v>
      </c>
      <c r="D40">
        <v>368.31</v>
      </c>
      <c r="E40">
        <v>74.2</v>
      </c>
      <c r="G40" s="3">
        <f t="shared" si="0"/>
        <v>-9.8413463746386621E-4</v>
      </c>
      <c r="H40" s="3">
        <f t="shared" si="1"/>
        <v>5.3799597800686613E-4</v>
      </c>
      <c r="I40" s="3">
        <f t="shared" si="2"/>
        <v>-6.1004029161468533E-3</v>
      </c>
      <c r="K40">
        <v>12</v>
      </c>
      <c r="L40" s="3">
        <v>0.05</v>
      </c>
      <c r="M40" s="3">
        <v>-0.11071779892325838</v>
      </c>
    </row>
    <row r="41" spans="1:13" x14ac:dyDescent="0.25">
      <c r="A41" s="1">
        <v>45967</v>
      </c>
      <c r="B41">
        <v>670.31</v>
      </c>
      <c r="C41">
        <v>74.37</v>
      </c>
      <c r="D41">
        <v>366.07</v>
      </c>
      <c r="E41">
        <v>74.06</v>
      </c>
      <c r="G41" s="3">
        <f t="shared" si="0"/>
        <v>1.0787335017882151E-2</v>
      </c>
      <c r="H41" s="3">
        <f t="shared" si="1"/>
        <v>-3.9070443772849985E-3</v>
      </c>
      <c r="I41" s="3">
        <f t="shared" si="2"/>
        <v>1.2012341393667111E-3</v>
      </c>
      <c r="K41">
        <v>13</v>
      </c>
      <c r="L41" s="3">
        <v>0.05</v>
      </c>
      <c r="M41" s="3">
        <v>-0.11071779892325838</v>
      </c>
    </row>
    <row r="42" spans="1:13" x14ac:dyDescent="0.25">
      <c r="A42" s="1">
        <v>45966</v>
      </c>
      <c r="B42">
        <v>677.58</v>
      </c>
      <c r="C42">
        <v>74.08</v>
      </c>
      <c r="D42">
        <v>366.51</v>
      </c>
      <c r="E42">
        <v>74.349999999999994</v>
      </c>
      <c r="G42" s="3">
        <f t="shared" si="0"/>
        <v>-3.4594437304460391E-3</v>
      </c>
      <c r="H42" s="3">
        <f t="shared" si="1"/>
        <v>2.8307628257909982E-3</v>
      </c>
      <c r="I42" s="3">
        <f t="shared" si="2"/>
        <v>-1.1498006836119734E-2</v>
      </c>
      <c r="K42">
        <v>14</v>
      </c>
      <c r="L42" s="3">
        <v>0.05</v>
      </c>
      <c r="M42" s="3">
        <v>-0.11071779892325838</v>
      </c>
    </row>
    <row r="43" spans="1:13" x14ac:dyDescent="0.25">
      <c r="A43" s="1">
        <v>45965</v>
      </c>
      <c r="B43">
        <v>675.24</v>
      </c>
      <c r="C43">
        <v>74.290000000000006</v>
      </c>
      <c r="D43">
        <v>362.32</v>
      </c>
      <c r="E43">
        <v>73.849999999999994</v>
      </c>
      <c r="G43" s="3">
        <f t="shared" si="0"/>
        <v>1.1924356281126827E-2</v>
      </c>
      <c r="H43" s="3">
        <f t="shared" si="1"/>
        <v>-5.3857548090596643E-4</v>
      </c>
      <c r="I43" s="3">
        <f t="shared" si="2"/>
        <v>1.767246102906006E-2</v>
      </c>
      <c r="K43">
        <v>15</v>
      </c>
      <c r="L43" s="3">
        <v>0.05</v>
      </c>
      <c r="M43" s="3">
        <v>-0.11071779892325838</v>
      </c>
    </row>
    <row r="44" spans="1:13" x14ac:dyDescent="0.25">
      <c r="A44" s="1">
        <v>45964</v>
      </c>
      <c r="B44">
        <v>683.34</v>
      </c>
      <c r="C44">
        <v>74.25</v>
      </c>
      <c r="D44">
        <v>368.78</v>
      </c>
      <c r="E44">
        <v>74.84</v>
      </c>
      <c r="G44" s="3">
        <f t="shared" si="0"/>
        <v>-1.8749090009721251E-3</v>
      </c>
      <c r="H44" s="3">
        <f t="shared" si="1"/>
        <v>4.4345970678657748E-3</v>
      </c>
      <c r="I44" s="3">
        <f t="shared" si="2"/>
        <v>-1.7912883063623411E-3</v>
      </c>
      <c r="K44">
        <v>16</v>
      </c>
      <c r="L44" s="3">
        <v>0.05</v>
      </c>
      <c r="M44" s="3">
        <v>-0.11071779892325838</v>
      </c>
    </row>
    <row r="45" spans="1:13" x14ac:dyDescent="0.25">
      <c r="A45" s="1">
        <v>45961</v>
      </c>
      <c r="B45">
        <v>682.06</v>
      </c>
      <c r="C45">
        <v>74.58</v>
      </c>
      <c r="D45">
        <v>368.12</v>
      </c>
      <c r="E45">
        <v>74.63</v>
      </c>
      <c r="G45" s="3">
        <f t="shared" si="0"/>
        <v>-3.2748635983995593E-3</v>
      </c>
      <c r="H45" s="3">
        <f t="shared" si="1"/>
        <v>2.6813245904027376E-4</v>
      </c>
      <c r="I45" s="3">
        <f t="shared" si="2"/>
        <v>5.4453233095333713E-3</v>
      </c>
      <c r="K45">
        <v>17</v>
      </c>
      <c r="L45" s="3">
        <v>0.05</v>
      </c>
      <c r="M45" s="3">
        <v>-0.11071779892325838</v>
      </c>
    </row>
    <row r="46" spans="1:13" x14ac:dyDescent="0.25">
      <c r="A46" s="1">
        <v>45960</v>
      </c>
      <c r="B46">
        <v>679.83</v>
      </c>
      <c r="C46">
        <v>74.599999999999994</v>
      </c>
      <c r="D46">
        <v>370.13</v>
      </c>
      <c r="E46">
        <v>74.81</v>
      </c>
      <c r="G46" s="3">
        <f t="shared" si="0"/>
        <v>1.1059049824417754E-2</v>
      </c>
      <c r="H46" s="3">
        <f t="shared" si="1"/>
        <v>1.7411107324838116E-3</v>
      </c>
      <c r="I46" s="3">
        <f t="shared" si="2"/>
        <v>-1.9451461015338622E-2</v>
      </c>
      <c r="K46">
        <v>18</v>
      </c>
      <c r="L46" s="3">
        <v>0.05</v>
      </c>
      <c r="M46" s="3">
        <v>-0.11071779892325838</v>
      </c>
    </row>
    <row r="47" spans="1:13" x14ac:dyDescent="0.25">
      <c r="A47" s="1">
        <v>45959</v>
      </c>
      <c r="B47">
        <v>687.39</v>
      </c>
      <c r="C47">
        <v>74.73</v>
      </c>
      <c r="D47">
        <v>363</v>
      </c>
      <c r="E47">
        <v>75.28</v>
      </c>
      <c r="G47" s="3">
        <f t="shared" si="0"/>
        <v>-4.8019208605784325E-4</v>
      </c>
      <c r="H47" s="3">
        <f t="shared" si="1"/>
        <v>4.9389408278902583E-3</v>
      </c>
      <c r="I47" s="3">
        <f t="shared" si="2"/>
        <v>3.794444872688171E-3</v>
      </c>
      <c r="K47">
        <v>19</v>
      </c>
      <c r="L47" s="3">
        <v>0.05</v>
      </c>
      <c r="M47" s="3">
        <v>-0.11071779892325838</v>
      </c>
    </row>
    <row r="48" spans="1:13" x14ac:dyDescent="0.25">
      <c r="A48" s="1">
        <v>45958</v>
      </c>
      <c r="B48">
        <v>687.06</v>
      </c>
      <c r="C48">
        <v>75.099999999999994</v>
      </c>
      <c r="D48">
        <v>364.38</v>
      </c>
      <c r="E48">
        <v>75.510000000000005</v>
      </c>
      <c r="G48" s="3">
        <f t="shared" si="0"/>
        <v>-2.6524827910452448E-3</v>
      </c>
      <c r="H48" s="3">
        <f t="shared" si="1"/>
        <v>-5.3276506321416886E-4</v>
      </c>
      <c r="I48" s="3">
        <f t="shared" si="2"/>
        <v>7.1918165022156954E-3</v>
      </c>
      <c r="K48">
        <v>20</v>
      </c>
      <c r="L48" s="3">
        <v>0.05</v>
      </c>
      <c r="M48" s="3">
        <v>-0.11071779892325838</v>
      </c>
    </row>
    <row r="49" spans="1:13" x14ac:dyDescent="0.25">
      <c r="A49" s="1">
        <v>45957</v>
      </c>
      <c r="B49">
        <v>685.24</v>
      </c>
      <c r="C49">
        <v>75.06</v>
      </c>
      <c r="D49">
        <v>367.01</v>
      </c>
      <c r="E49">
        <v>75.52</v>
      </c>
      <c r="G49" s="3">
        <f t="shared" si="0"/>
        <v>-1.1728660897053307E-2</v>
      </c>
      <c r="H49" s="3">
        <f t="shared" si="1"/>
        <v>-5.3304905313358039E-4</v>
      </c>
      <c r="I49" s="3">
        <f t="shared" si="2"/>
        <v>2.8234451778377287E-2</v>
      </c>
      <c r="K49">
        <v>21</v>
      </c>
      <c r="L49" s="3">
        <v>0.05</v>
      </c>
      <c r="M49" s="3">
        <v>-0.11071779892325838</v>
      </c>
    </row>
    <row r="50" spans="1:13" x14ac:dyDescent="0.25">
      <c r="A50" s="1">
        <v>45954</v>
      </c>
      <c r="B50">
        <v>677.25</v>
      </c>
      <c r="C50">
        <v>75.02</v>
      </c>
      <c r="D50">
        <v>377.52</v>
      </c>
      <c r="E50">
        <v>74.95</v>
      </c>
      <c r="G50" s="3">
        <f t="shared" si="0"/>
        <v>-8.1393470898967289E-3</v>
      </c>
      <c r="H50" s="3">
        <f t="shared" si="1"/>
        <v>-1.3338670778534495E-3</v>
      </c>
      <c r="I50" s="3">
        <f t="shared" si="2"/>
        <v>3.35841439010024E-3</v>
      </c>
      <c r="K50">
        <v>22</v>
      </c>
      <c r="L50" s="3">
        <v>0.05</v>
      </c>
      <c r="M50" s="3">
        <v>-0.11071779892325838</v>
      </c>
    </row>
    <row r="51" spans="1:13" x14ac:dyDescent="0.25">
      <c r="A51" s="1">
        <v>45953</v>
      </c>
      <c r="B51">
        <v>671.76</v>
      </c>
      <c r="C51">
        <v>74.92</v>
      </c>
      <c r="D51">
        <v>378.79</v>
      </c>
      <c r="E51">
        <v>74.709999999999994</v>
      </c>
      <c r="G51" s="3">
        <f t="shared" si="0"/>
        <v>-5.912406365753636E-3</v>
      </c>
      <c r="H51" s="3">
        <f t="shared" si="1"/>
        <v>2.0001340090231713E-3</v>
      </c>
      <c r="I51" s="3">
        <f t="shared" si="2"/>
        <v>-3.9943444592263769E-3</v>
      </c>
      <c r="K51">
        <v>23</v>
      </c>
      <c r="L51" s="3">
        <v>0.05</v>
      </c>
      <c r="M51" s="3">
        <v>-0.11071779892325838</v>
      </c>
    </row>
    <row r="52" spans="1:13" x14ac:dyDescent="0.25">
      <c r="A52" s="1">
        <v>45952</v>
      </c>
      <c r="B52">
        <v>667.8</v>
      </c>
      <c r="C52">
        <v>75.069999999999993</v>
      </c>
      <c r="D52">
        <v>377.28</v>
      </c>
      <c r="E52">
        <v>74.28</v>
      </c>
      <c r="G52" s="3">
        <f t="shared" si="0"/>
        <v>5.2125068546614558E-3</v>
      </c>
      <c r="H52" s="3">
        <f t="shared" si="1"/>
        <v>0</v>
      </c>
      <c r="I52" s="3">
        <f t="shared" si="2"/>
        <v>-1.0602767332190932E-4</v>
      </c>
      <c r="K52">
        <v>24</v>
      </c>
      <c r="L52" s="3">
        <v>0.05</v>
      </c>
      <c r="M52" s="3">
        <v>-0.11071779892325838</v>
      </c>
    </row>
    <row r="53" spans="1:13" x14ac:dyDescent="0.25">
      <c r="A53" s="1">
        <v>45951</v>
      </c>
      <c r="B53">
        <v>671.29</v>
      </c>
      <c r="C53">
        <v>75.069999999999993</v>
      </c>
      <c r="D53">
        <v>377.24</v>
      </c>
      <c r="E53">
        <v>74.22</v>
      </c>
      <c r="G53" s="3">
        <f t="shared" si="0"/>
        <v>1.4896580490226201E-5</v>
      </c>
      <c r="H53" s="3">
        <f t="shared" si="1"/>
        <v>-1.1996002771449338E-3</v>
      </c>
      <c r="I53" s="3">
        <f t="shared" si="2"/>
        <v>6.6427111455346841E-2</v>
      </c>
      <c r="K53">
        <v>25</v>
      </c>
      <c r="L53" s="3">
        <v>0.05</v>
      </c>
      <c r="M53" s="3">
        <v>-0.11071779892325838</v>
      </c>
    </row>
    <row r="54" spans="1:13" x14ac:dyDescent="0.25">
      <c r="A54" s="1">
        <v>45950</v>
      </c>
      <c r="B54">
        <v>671.3</v>
      </c>
      <c r="C54">
        <v>74.98</v>
      </c>
      <c r="D54">
        <v>403.15</v>
      </c>
      <c r="E54">
        <v>74.930000000000007</v>
      </c>
      <c r="G54" s="3">
        <f t="shared" si="0"/>
        <v>-1.0346804492827618E-2</v>
      </c>
      <c r="H54" s="3">
        <f t="shared" si="1"/>
        <v>-1.3345791384294624E-3</v>
      </c>
      <c r="I54" s="3">
        <f t="shared" si="2"/>
        <v>-3.5755064783887736E-2</v>
      </c>
      <c r="K54">
        <v>26</v>
      </c>
      <c r="L54" s="3">
        <v>0.05</v>
      </c>
      <c r="M54" s="3">
        <v>-0.11071779892325838</v>
      </c>
    </row>
    <row r="55" spans="1:13" x14ac:dyDescent="0.25">
      <c r="A55" s="1">
        <v>45947</v>
      </c>
      <c r="B55">
        <v>664.39</v>
      </c>
      <c r="C55">
        <v>74.88</v>
      </c>
      <c r="D55">
        <v>388.99</v>
      </c>
      <c r="E55">
        <v>74.2</v>
      </c>
      <c r="G55" s="3">
        <f t="shared" si="0"/>
        <v>-5.6602643140981033E-3</v>
      </c>
      <c r="H55" s="3">
        <f t="shared" si="1"/>
        <v>1.3345791384294652E-3</v>
      </c>
      <c r="I55" s="3">
        <f t="shared" si="2"/>
        <v>1.8996293371264721E-2</v>
      </c>
      <c r="K55">
        <v>27</v>
      </c>
      <c r="L55" s="3">
        <v>0.05</v>
      </c>
      <c r="M55" s="3">
        <v>-0.11071779892325838</v>
      </c>
    </row>
    <row r="56" spans="1:13" x14ac:dyDescent="0.25">
      <c r="A56" s="1">
        <v>45946</v>
      </c>
      <c r="B56">
        <v>660.64</v>
      </c>
      <c r="C56">
        <v>74.98</v>
      </c>
      <c r="D56">
        <v>396.45</v>
      </c>
      <c r="E56">
        <v>74.25</v>
      </c>
      <c r="G56" s="3">
        <f t="shared" si="0"/>
        <v>6.8335849457118528E-3</v>
      </c>
      <c r="H56" s="3">
        <f t="shared" si="1"/>
        <v>-3.7413191689943223E-3</v>
      </c>
      <c r="I56" s="3">
        <f t="shared" si="2"/>
        <v>-2.3117992191738015E-2</v>
      </c>
      <c r="K56">
        <v>28</v>
      </c>
      <c r="L56" s="3">
        <v>0.05</v>
      </c>
      <c r="M56" s="3">
        <v>-0.11071779892325838</v>
      </c>
    </row>
    <row r="57" spans="1:13" x14ac:dyDescent="0.25">
      <c r="A57" s="1">
        <v>45945</v>
      </c>
      <c r="B57">
        <v>665.17</v>
      </c>
      <c r="C57">
        <v>74.7</v>
      </c>
      <c r="D57">
        <v>387.39</v>
      </c>
      <c r="E57">
        <v>73.92</v>
      </c>
      <c r="G57" s="3">
        <f t="shared" si="0"/>
        <v>-4.4297194628445157E-3</v>
      </c>
      <c r="H57" s="3">
        <f t="shared" si="1"/>
        <v>6.6912013202419414E-4</v>
      </c>
      <c r="I57" s="3">
        <f t="shared" si="2"/>
        <v>-1.7183895458474405E-2</v>
      </c>
      <c r="K57">
        <v>29</v>
      </c>
      <c r="L57" s="3">
        <v>0.05</v>
      </c>
      <c r="M57" s="3">
        <v>-0.11071779892325838</v>
      </c>
    </row>
    <row r="58" spans="1:13" x14ac:dyDescent="0.25">
      <c r="A58" s="1">
        <v>45944</v>
      </c>
      <c r="B58">
        <v>662.23</v>
      </c>
      <c r="C58">
        <v>74.75</v>
      </c>
      <c r="D58">
        <v>380.79</v>
      </c>
      <c r="E58">
        <v>73.28</v>
      </c>
      <c r="G58" s="3">
        <f t="shared" si="0"/>
        <v>1.2223925703613099E-3</v>
      </c>
      <c r="H58" s="3">
        <f t="shared" si="1"/>
        <v>-1.4726557317074034E-3</v>
      </c>
      <c r="I58" s="3">
        <f t="shared" si="2"/>
        <v>-7.115779550685571E-3</v>
      </c>
      <c r="K58">
        <v>30</v>
      </c>
      <c r="L58" s="3">
        <v>0.05</v>
      </c>
      <c r="M58" s="3">
        <v>-0.11071779892325838</v>
      </c>
    </row>
    <row r="59" spans="1:13" x14ac:dyDescent="0.25">
      <c r="A59" s="1">
        <v>45943</v>
      </c>
      <c r="B59">
        <v>663.04</v>
      </c>
      <c r="C59">
        <v>74.64</v>
      </c>
      <c r="D59">
        <v>378.09</v>
      </c>
      <c r="E59">
        <v>73.27</v>
      </c>
      <c r="G59" s="3">
        <f t="shared" si="0"/>
        <v>-1.5227563512238555E-2</v>
      </c>
      <c r="H59" s="3">
        <f t="shared" si="1"/>
        <v>-1.6090108057007738E-3</v>
      </c>
      <c r="I59" s="3">
        <f t="shared" si="2"/>
        <v>-2.4010468092066421E-2</v>
      </c>
      <c r="K59">
        <v>31</v>
      </c>
      <c r="L59" s="3">
        <v>0.05</v>
      </c>
      <c r="M59" s="3">
        <v>-0.11071779892325838</v>
      </c>
    </row>
    <row r="60" spans="1:13" x14ac:dyDescent="0.25">
      <c r="A60" s="1">
        <v>45940</v>
      </c>
      <c r="B60">
        <v>653.02</v>
      </c>
      <c r="C60">
        <v>74.52</v>
      </c>
      <c r="D60">
        <v>369.12</v>
      </c>
      <c r="E60">
        <v>72.17</v>
      </c>
      <c r="G60" s="3">
        <f t="shared" si="0"/>
        <v>2.7399801942726499E-2</v>
      </c>
      <c r="H60" s="3">
        <f t="shared" si="1"/>
        <v>-3.8991646039320282E-3</v>
      </c>
      <c r="I60" s="3">
        <f t="shared" si="2"/>
        <v>-1.004705204546625E-2</v>
      </c>
      <c r="K60">
        <v>32</v>
      </c>
      <c r="L60" s="3">
        <v>0.05</v>
      </c>
      <c r="M60" s="3">
        <v>-0.11071779892325838</v>
      </c>
    </row>
    <row r="61" spans="1:13" x14ac:dyDescent="0.25">
      <c r="A61" s="1">
        <v>45939</v>
      </c>
      <c r="B61">
        <v>671.16</v>
      </c>
      <c r="C61">
        <v>74.23</v>
      </c>
      <c r="D61">
        <v>365.43</v>
      </c>
      <c r="E61">
        <v>73.88</v>
      </c>
      <c r="G61" s="3">
        <f t="shared" si="0"/>
        <v>2.9012049182986499E-3</v>
      </c>
      <c r="H61" s="3">
        <f t="shared" si="1"/>
        <v>6.733553550493578E-4</v>
      </c>
      <c r="I61" s="3">
        <f t="shared" si="2"/>
        <v>1.8625238498693963E-2</v>
      </c>
      <c r="K61">
        <v>33</v>
      </c>
      <c r="L61" s="3">
        <v>0.05</v>
      </c>
      <c r="M61" s="3">
        <v>-0.11071779892325838</v>
      </c>
    </row>
    <row r="62" spans="1:13" x14ac:dyDescent="0.25">
      <c r="A62" s="1">
        <v>45938</v>
      </c>
      <c r="B62">
        <v>673.11</v>
      </c>
      <c r="C62">
        <v>74.28</v>
      </c>
      <c r="D62">
        <v>372.3</v>
      </c>
      <c r="E62">
        <v>74.53</v>
      </c>
      <c r="G62" s="3">
        <f t="shared" si="0"/>
        <v>-5.9453472995268843E-3</v>
      </c>
      <c r="H62" s="3">
        <f t="shared" si="1"/>
        <v>0</v>
      </c>
      <c r="I62" s="3">
        <f t="shared" si="2"/>
        <v>-1.6356517165868754E-2</v>
      </c>
      <c r="K62">
        <v>34</v>
      </c>
      <c r="L62" s="3">
        <v>0.05</v>
      </c>
      <c r="M62" s="3">
        <v>-0.11071779892325838</v>
      </c>
    </row>
    <row r="63" spans="1:13" x14ac:dyDescent="0.25">
      <c r="A63" s="1">
        <v>45937</v>
      </c>
      <c r="B63">
        <v>669.12</v>
      </c>
      <c r="C63">
        <v>74.28</v>
      </c>
      <c r="D63">
        <v>366.26</v>
      </c>
      <c r="E63">
        <v>74.239999999999995</v>
      </c>
      <c r="G63" s="3">
        <f t="shared" si="0"/>
        <v>3.7143986676310354E-3</v>
      </c>
      <c r="H63" s="3">
        <f t="shared" si="1"/>
        <v>-1.886538761918835E-3</v>
      </c>
      <c r="I63" s="3">
        <f t="shared" si="2"/>
        <v>-5.1461845752636013E-3</v>
      </c>
      <c r="K63">
        <v>35</v>
      </c>
      <c r="L63" s="3">
        <v>0.05</v>
      </c>
      <c r="M63" s="3">
        <v>-0.11071779892325838</v>
      </c>
    </row>
    <row r="64" spans="1:13" x14ac:dyDescent="0.25">
      <c r="A64" s="1">
        <v>45936</v>
      </c>
      <c r="B64">
        <v>671.61</v>
      </c>
      <c r="C64">
        <v>74.14</v>
      </c>
      <c r="D64">
        <v>364.38</v>
      </c>
      <c r="E64">
        <v>74.819999999999993</v>
      </c>
      <c r="G64" s="3">
        <f t="shared" si="0"/>
        <v>-3.5799026910996561E-3</v>
      </c>
      <c r="H64" s="3">
        <f t="shared" si="1"/>
        <v>2.2903344467916946E-3</v>
      </c>
      <c r="I64" s="3">
        <f t="shared" si="2"/>
        <v>-1.8670385270421728E-2</v>
      </c>
      <c r="K64">
        <v>36</v>
      </c>
      <c r="L64" s="3">
        <v>0.05</v>
      </c>
      <c r="M64" s="3">
        <v>-0.11071779892325838</v>
      </c>
    </row>
    <row r="65" spans="1:13" x14ac:dyDescent="0.25">
      <c r="A65" s="1">
        <v>45933</v>
      </c>
      <c r="B65">
        <v>669.21</v>
      </c>
      <c r="C65">
        <v>74.31</v>
      </c>
      <c r="D65">
        <v>357.64</v>
      </c>
      <c r="E65">
        <v>74.66</v>
      </c>
      <c r="G65" s="3">
        <f t="shared" si="0"/>
        <v>1.4942880838213109E-5</v>
      </c>
      <c r="H65" s="3">
        <f t="shared" si="1"/>
        <v>1.2104096696682644E-3</v>
      </c>
      <c r="I65" s="3">
        <f t="shared" si="2"/>
        <v>-8.0008287217917945E-3</v>
      </c>
      <c r="K65">
        <v>37</v>
      </c>
      <c r="L65" s="3">
        <v>0.05</v>
      </c>
      <c r="M65" s="3">
        <v>-0.11071779892325838</v>
      </c>
    </row>
    <row r="66" spans="1:13" x14ac:dyDescent="0.25">
      <c r="A66" s="1">
        <v>45932</v>
      </c>
      <c r="B66">
        <v>669.22</v>
      </c>
      <c r="C66">
        <v>74.400000000000006</v>
      </c>
      <c r="D66">
        <v>354.79</v>
      </c>
      <c r="E66">
        <v>74.11</v>
      </c>
      <c r="G66" s="3">
        <f t="shared" si="0"/>
        <v>-1.1512556685069077E-3</v>
      </c>
      <c r="H66" s="3">
        <f t="shared" si="1"/>
        <v>-1.0758473334632364E-3</v>
      </c>
      <c r="I66" s="3">
        <f t="shared" si="2"/>
        <v>3.4889318191376755E-3</v>
      </c>
      <c r="K66">
        <v>38</v>
      </c>
      <c r="L66" s="3">
        <v>0.05</v>
      </c>
      <c r="M66" s="3">
        <v>-0.11071779892325838</v>
      </c>
    </row>
    <row r="67" spans="1:13" x14ac:dyDescent="0.25">
      <c r="A67" s="1">
        <v>45931</v>
      </c>
      <c r="B67">
        <v>668.45</v>
      </c>
      <c r="C67">
        <v>74.319999999999993</v>
      </c>
      <c r="D67">
        <v>356.03</v>
      </c>
      <c r="E67">
        <v>73.97</v>
      </c>
      <c r="G67" s="3">
        <f t="shared" si="0"/>
        <v>-3.4016951349024349E-3</v>
      </c>
      <c r="H67" s="3">
        <f t="shared" si="1"/>
        <v>6.7254020962583688E-4</v>
      </c>
      <c r="I67" s="3">
        <f t="shared" si="2"/>
        <v>-1.5741394677047378E-3</v>
      </c>
      <c r="K67">
        <v>39</v>
      </c>
      <c r="L67" s="3">
        <v>0.05</v>
      </c>
      <c r="M67" s="3">
        <v>-0.11071779892325838</v>
      </c>
    </row>
    <row r="68" spans="1:13" x14ac:dyDescent="0.25">
      <c r="A68" s="1">
        <v>45930</v>
      </c>
      <c r="B68">
        <v>666.18</v>
      </c>
      <c r="C68">
        <v>74.37</v>
      </c>
      <c r="D68">
        <v>355.47</v>
      </c>
      <c r="E68">
        <v>73.459999999999994</v>
      </c>
      <c r="G68" s="3">
        <f t="shared" ref="G68:G131" si="6">LN(B69/B68)</f>
        <v>-3.7597986931215033E-3</v>
      </c>
      <c r="H68" s="3">
        <f t="shared" ref="H68:H131" si="7">LN(C69/C68)</f>
        <v>4.033071238374693E-4</v>
      </c>
      <c r="I68" s="3">
        <f t="shared" ref="I68:I131" si="8">LN(D69/D68)</f>
        <v>-8.5037168605350648E-3</v>
      </c>
      <c r="K68">
        <v>40</v>
      </c>
      <c r="L68" s="3">
        <v>0.05</v>
      </c>
      <c r="M68" s="3">
        <v>-0.11071779892325838</v>
      </c>
    </row>
    <row r="69" spans="1:13" x14ac:dyDescent="0.25">
      <c r="A69" s="1">
        <v>45929</v>
      </c>
      <c r="B69">
        <v>663.68</v>
      </c>
      <c r="C69">
        <v>74.400000000000006</v>
      </c>
      <c r="D69">
        <v>352.46</v>
      </c>
      <c r="E69">
        <v>73.14</v>
      </c>
      <c r="G69" s="3">
        <f t="shared" si="6"/>
        <v>-2.8064899597729583E-3</v>
      </c>
      <c r="H69" s="3">
        <f t="shared" si="7"/>
        <v>-2.5570298570041189E-3</v>
      </c>
      <c r="I69" s="3">
        <f t="shared" si="8"/>
        <v>-1.6361921078481601E-2</v>
      </c>
      <c r="K69">
        <v>41</v>
      </c>
      <c r="L69" s="3">
        <v>0.05</v>
      </c>
      <c r="M69" s="3">
        <v>-0.11071779892325838</v>
      </c>
    </row>
    <row r="70" spans="1:13" x14ac:dyDescent="0.25">
      <c r="A70" s="1">
        <v>45926</v>
      </c>
      <c r="B70">
        <v>661.82</v>
      </c>
      <c r="C70">
        <v>74.209999999999994</v>
      </c>
      <c r="D70">
        <v>346.74</v>
      </c>
      <c r="E70">
        <v>72.75</v>
      </c>
      <c r="G70" s="3">
        <f t="shared" si="6"/>
        <v>-5.7126993610021465E-3</v>
      </c>
      <c r="H70" s="3">
        <f t="shared" si="7"/>
        <v>0</v>
      </c>
      <c r="I70" s="3">
        <f t="shared" si="8"/>
        <v>-5.7557028843304757E-3</v>
      </c>
      <c r="K70">
        <v>42</v>
      </c>
      <c r="L70" s="3">
        <v>0.05</v>
      </c>
      <c r="M70" s="3">
        <v>-0.11071779892325838</v>
      </c>
    </row>
    <row r="71" spans="1:13" x14ac:dyDescent="0.25">
      <c r="A71" s="1">
        <v>45925</v>
      </c>
      <c r="B71">
        <v>658.05</v>
      </c>
      <c r="C71">
        <v>74.209999999999994</v>
      </c>
      <c r="D71">
        <v>344.75</v>
      </c>
      <c r="E71">
        <v>72.489999999999995</v>
      </c>
      <c r="G71" s="3">
        <f t="shared" si="6"/>
        <v>4.6241980591998216E-3</v>
      </c>
      <c r="H71" s="3">
        <f t="shared" si="7"/>
        <v>1.0774411816728345E-3</v>
      </c>
      <c r="I71" s="3">
        <f t="shared" si="8"/>
        <v>-4.15655982339206E-3</v>
      </c>
      <c r="K71">
        <v>43</v>
      </c>
      <c r="L71" s="3">
        <v>0.05</v>
      </c>
      <c r="M71" s="3">
        <v>-0.11071779892325838</v>
      </c>
    </row>
    <row r="72" spans="1:13" x14ac:dyDescent="0.25">
      <c r="A72" s="1">
        <v>45924</v>
      </c>
      <c r="B72">
        <v>661.1</v>
      </c>
      <c r="C72">
        <v>74.290000000000006</v>
      </c>
      <c r="D72">
        <v>343.32</v>
      </c>
      <c r="E72">
        <v>72.91</v>
      </c>
      <c r="G72" s="3">
        <f t="shared" si="6"/>
        <v>3.1865677755948301E-3</v>
      </c>
      <c r="H72" s="3">
        <f t="shared" si="7"/>
        <v>2.0170786103349755E-3</v>
      </c>
      <c r="I72" s="3">
        <f t="shared" si="8"/>
        <v>9.1044150007755804E-3</v>
      </c>
      <c r="K72">
        <v>44</v>
      </c>
      <c r="L72" s="3">
        <v>0.05</v>
      </c>
      <c r="M72" s="3">
        <v>-0.11071779892325838</v>
      </c>
    </row>
    <row r="73" spans="1:13" x14ac:dyDescent="0.25">
      <c r="A73" s="1">
        <v>45923</v>
      </c>
      <c r="B73">
        <v>663.21</v>
      </c>
      <c r="C73">
        <v>74.44</v>
      </c>
      <c r="D73">
        <v>346.46</v>
      </c>
      <c r="E73">
        <v>73.34</v>
      </c>
      <c r="G73" s="3">
        <f t="shared" si="6"/>
        <v>5.4584549647028373E-3</v>
      </c>
      <c r="H73" s="3">
        <f t="shared" si="7"/>
        <v>-2.0170786103350241E-3</v>
      </c>
      <c r="I73" s="3">
        <f t="shared" si="8"/>
        <v>-4.0780377841839414E-3</v>
      </c>
      <c r="K73">
        <v>45</v>
      </c>
      <c r="L73" s="3">
        <v>0.05</v>
      </c>
      <c r="M73" s="3">
        <v>-0.11071779892325838</v>
      </c>
    </row>
    <row r="74" spans="1:13" x14ac:dyDescent="0.25">
      <c r="A74" s="1">
        <v>45922</v>
      </c>
      <c r="B74">
        <v>666.84</v>
      </c>
      <c r="C74">
        <v>74.290000000000006</v>
      </c>
      <c r="D74">
        <v>345.05</v>
      </c>
      <c r="E74">
        <v>73.44</v>
      </c>
      <c r="G74" s="3">
        <f t="shared" si="6"/>
        <v>-4.7198969279508588E-3</v>
      </c>
      <c r="H74" s="3">
        <f t="shared" si="7"/>
        <v>1.882733208104382E-3</v>
      </c>
      <c r="I74" s="3">
        <f t="shared" si="8"/>
        <v>-1.7158394151356442E-2</v>
      </c>
      <c r="K74">
        <v>46</v>
      </c>
      <c r="L74" s="3">
        <v>0.05</v>
      </c>
      <c r="M74" s="3">
        <v>-0.11071779892325838</v>
      </c>
    </row>
    <row r="75" spans="1:13" x14ac:dyDescent="0.25">
      <c r="A75" s="1">
        <v>45919</v>
      </c>
      <c r="B75">
        <v>663.7</v>
      </c>
      <c r="C75">
        <v>74.430000000000007</v>
      </c>
      <c r="D75">
        <v>339.18</v>
      </c>
      <c r="E75">
        <v>73.12</v>
      </c>
      <c r="G75" s="3">
        <f t="shared" si="6"/>
        <v>-2.1720120759546259E-3</v>
      </c>
      <c r="H75" s="3">
        <f t="shared" si="7"/>
        <v>-4.0314453277313065E-4</v>
      </c>
      <c r="I75" s="3">
        <f t="shared" si="8"/>
        <v>-1.055137234223872E-2</v>
      </c>
      <c r="K75">
        <v>47</v>
      </c>
      <c r="L75" s="3">
        <v>0.05</v>
      </c>
      <c r="M75" s="3">
        <v>-0.11071779892325838</v>
      </c>
    </row>
    <row r="76" spans="1:13" x14ac:dyDescent="0.25">
      <c r="A76" s="1">
        <v>45918</v>
      </c>
      <c r="B76">
        <v>662.26</v>
      </c>
      <c r="C76">
        <v>74.400000000000006</v>
      </c>
      <c r="D76">
        <v>335.62</v>
      </c>
      <c r="E76">
        <v>73.73</v>
      </c>
      <c r="G76" s="3">
        <f t="shared" si="6"/>
        <v>-4.6615897467493896E-3</v>
      </c>
      <c r="H76" s="3">
        <f t="shared" si="7"/>
        <v>2.5505081280255944E-3</v>
      </c>
      <c r="I76" s="3">
        <f t="shared" si="8"/>
        <v>4.0143380452487805E-3</v>
      </c>
      <c r="K76">
        <v>48</v>
      </c>
      <c r="L76" s="3">
        <v>0.05</v>
      </c>
      <c r="M76" s="3">
        <v>-0.11071779892325838</v>
      </c>
    </row>
    <row r="77" spans="1:13" x14ac:dyDescent="0.25">
      <c r="A77" s="1">
        <v>45917</v>
      </c>
      <c r="B77">
        <v>659.18</v>
      </c>
      <c r="C77">
        <v>74.59</v>
      </c>
      <c r="D77">
        <v>336.97</v>
      </c>
      <c r="E77">
        <v>73.67</v>
      </c>
      <c r="G77" s="3">
        <f t="shared" si="6"/>
        <v>1.243196691295765E-3</v>
      </c>
      <c r="H77" s="3">
        <f t="shared" si="7"/>
        <v>1.7413439535152529E-3</v>
      </c>
      <c r="I77" s="3">
        <f t="shared" si="8"/>
        <v>7.7451019778354393E-3</v>
      </c>
      <c r="K77">
        <v>49</v>
      </c>
      <c r="L77" s="3">
        <v>0.05</v>
      </c>
      <c r="M77" s="3">
        <v>-0.11071779892325838</v>
      </c>
    </row>
    <row r="78" spans="1:13" x14ac:dyDescent="0.25">
      <c r="A78" s="1">
        <v>45916</v>
      </c>
      <c r="B78">
        <v>660</v>
      </c>
      <c r="C78">
        <v>74.72</v>
      </c>
      <c r="D78">
        <v>339.59</v>
      </c>
      <c r="E78">
        <v>73.72</v>
      </c>
      <c r="G78" s="3">
        <f t="shared" si="6"/>
        <v>1.3778382235956773E-3</v>
      </c>
      <c r="H78" s="3">
        <f t="shared" si="7"/>
        <v>-1.3384193287733657E-4</v>
      </c>
      <c r="I78" s="3">
        <f t="shared" si="8"/>
        <v>-2.0044221891527283E-3</v>
      </c>
      <c r="K78">
        <v>50</v>
      </c>
      <c r="L78" s="3">
        <v>0.05</v>
      </c>
      <c r="M78" s="3">
        <v>-0.11071779892325838</v>
      </c>
    </row>
    <row r="79" spans="1:13" x14ac:dyDescent="0.25">
      <c r="A79" s="1">
        <v>45915</v>
      </c>
      <c r="B79">
        <v>660.91</v>
      </c>
      <c r="C79">
        <v>74.709999999999994</v>
      </c>
      <c r="D79">
        <v>338.91</v>
      </c>
      <c r="E79">
        <v>73.66</v>
      </c>
      <c r="G79" s="3">
        <f t="shared" si="6"/>
        <v>-5.3098006906385749E-3</v>
      </c>
      <c r="H79" s="3">
        <f t="shared" si="7"/>
        <v>-1.8756704320064643E-3</v>
      </c>
      <c r="I79" s="3">
        <f t="shared" si="8"/>
        <v>-1.0351107503465394E-2</v>
      </c>
      <c r="K79">
        <v>51</v>
      </c>
      <c r="L79" s="3">
        <v>0.05</v>
      </c>
      <c r="M79" s="3">
        <v>-0.11071779892325838</v>
      </c>
    </row>
    <row r="80" spans="1:13" x14ac:dyDescent="0.25">
      <c r="A80" s="1">
        <v>45912</v>
      </c>
      <c r="B80">
        <v>657.41</v>
      </c>
      <c r="C80">
        <v>74.569999999999993</v>
      </c>
      <c r="D80">
        <v>335.42</v>
      </c>
      <c r="E80">
        <v>73.09</v>
      </c>
      <c r="G80" s="3">
        <f t="shared" si="6"/>
        <v>3.3459058591751406E-4</v>
      </c>
      <c r="H80" s="3">
        <f t="shared" si="7"/>
        <v>1.2061919307342931E-3</v>
      </c>
      <c r="I80" s="3">
        <f t="shared" si="8"/>
        <v>-1.969620738808494E-3</v>
      </c>
      <c r="K80">
        <v>52</v>
      </c>
      <c r="L80" s="3">
        <v>0.05</v>
      </c>
      <c r="M80" s="3">
        <v>-0.11071779892325838</v>
      </c>
    </row>
    <row r="81" spans="1:13" x14ac:dyDescent="0.25">
      <c r="A81" s="1">
        <v>45911</v>
      </c>
      <c r="B81">
        <v>657.63</v>
      </c>
      <c r="C81">
        <v>74.66</v>
      </c>
      <c r="D81">
        <v>334.76</v>
      </c>
      <c r="E81">
        <v>73.33</v>
      </c>
      <c r="G81" s="3">
        <f t="shared" si="6"/>
        <v>-8.2758671816474151E-3</v>
      </c>
      <c r="H81" s="3">
        <f t="shared" si="7"/>
        <v>-2.1453481009238991E-3</v>
      </c>
      <c r="I81" s="3">
        <f t="shared" si="8"/>
        <v>1.4924930384583783E-3</v>
      </c>
      <c r="K81">
        <v>53</v>
      </c>
      <c r="L81" s="3">
        <v>0.05</v>
      </c>
      <c r="M81" s="3">
        <v>-0.11071779892325838</v>
      </c>
    </row>
    <row r="82" spans="1:13" x14ac:dyDescent="0.25">
      <c r="A82" s="1">
        <v>45910</v>
      </c>
      <c r="B82">
        <v>652.21</v>
      </c>
      <c r="C82">
        <v>74.5</v>
      </c>
      <c r="D82">
        <v>335.26</v>
      </c>
      <c r="E82">
        <v>72.510000000000005</v>
      </c>
      <c r="G82" s="3">
        <f t="shared" si="6"/>
        <v>-2.886669592459997E-3</v>
      </c>
      <c r="H82" s="3">
        <f t="shared" si="7"/>
        <v>-1.7464906703049505E-3</v>
      </c>
      <c r="I82" s="3">
        <f t="shared" si="8"/>
        <v>-3.5857326413301677E-3</v>
      </c>
      <c r="K82">
        <v>54</v>
      </c>
      <c r="L82" s="3">
        <v>0.05</v>
      </c>
      <c r="M82" s="3">
        <v>-0.11071779892325838</v>
      </c>
    </row>
    <row r="83" spans="1:13" x14ac:dyDescent="0.25">
      <c r="A83" s="1">
        <v>45909</v>
      </c>
      <c r="B83">
        <v>650.33000000000004</v>
      </c>
      <c r="C83">
        <v>74.37</v>
      </c>
      <c r="D83">
        <v>334.06</v>
      </c>
      <c r="E83">
        <v>72.38</v>
      </c>
      <c r="G83" s="3">
        <f t="shared" si="6"/>
        <v>-2.3091854221837082E-3</v>
      </c>
      <c r="H83" s="3">
        <f t="shared" si="7"/>
        <v>1.8807098504274023E-3</v>
      </c>
      <c r="I83" s="3">
        <f t="shared" si="8"/>
        <v>2.2724564258372157E-3</v>
      </c>
      <c r="K83">
        <v>55</v>
      </c>
      <c r="L83" s="3">
        <v>0.05</v>
      </c>
      <c r="M83" s="3">
        <v>-0.11071779892325838</v>
      </c>
    </row>
    <row r="84" spans="1:13" x14ac:dyDescent="0.25">
      <c r="A84" s="1">
        <v>45908</v>
      </c>
      <c r="B84">
        <v>648.83000000000004</v>
      </c>
      <c r="C84">
        <v>74.510000000000005</v>
      </c>
      <c r="D84">
        <v>334.82</v>
      </c>
      <c r="E84">
        <v>72.47</v>
      </c>
      <c r="G84" s="3">
        <f t="shared" si="6"/>
        <v>-2.4535724114473968E-3</v>
      </c>
      <c r="H84" s="3">
        <f t="shared" si="7"/>
        <v>-3.2262428844312282E-3</v>
      </c>
      <c r="I84" s="3">
        <f t="shared" si="8"/>
        <v>-1.1323652616783539E-2</v>
      </c>
      <c r="K84">
        <v>56</v>
      </c>
      <c r="L84" s="3">
        <v>0.05</v>
      </c>
      <c r="M84" s="3">
        <v>-0.11071779892325838</v>
      </c>
    </row>
    <row r="85" spans="1:13" x14ac:dyDescent="0.25">
      <c r="A85" s="1">
        <v>45905</v>
      </c>
      <c r="B85">
        <v>647.24</v>
      </c>
      <c r="C85">
        <v>74.27</v>
      </c>
      <c r="D85">
        <v>331.05</v>
      </c>
      <c r="E85">
        <v>71.78</v>
      </c>
      <c r="G85" s="3">
        <f t="shared" si="6"/>
        <v>2.9004309265298241E-3</v>
      </c>
      <c r="H85" s="3">
        <f t="shared" si="7"/>
        <v>-4.7236743477763283E-3</v>
      </c>
      <c r="I85" s="3">
        <f t="shared" si="8"/>
        <v>-1.3257712353817588E-2</v>
      </c>
      <c r="K85">
        <v>57</v>
      </c>
      <c r="L85" s="3">
        <v>0.05</v>
      </c>
      <c r="M85" s="3">
        <v>-0.11071779892325838</v>
      </c>
    </row>
    <row r="86" spans="1:13" x14ac:dyDescent="0.25">
      <c r="A86" s="1">
        <v>45904</v>
      </c>
      <c r="B86">
        <v>649.12</v>
      </c>
      <c r="C86">
        <v>73.92</v>
      </c>
      <c r="D86">
        <v>326.69</v>
      </c>
      <c r="E86">
        <v>71.31</v>
      </c>
      <c r="G86" s="3">
        <f t="shared" si="6"/>
        <v>-8.3226815814272277E-3</v>
      </c>
      <c r="H86" s="3">
        <f t="shared" si="7"/>
        <v>-3.7950709685516094E-3</v>
      </c>
      <c r="I86" s="3">
        <f t="shared" si="8"/>
        <v>4.4286375696988437E-3</v>
      </c>
      <c r="K86">
        <v>58</v>
      </c>
      <c r="L86" s="3">
        <v>0.05</v>
      </c>
      <c r="M86" s="3">
        <v>-0.11071779892325838</v>
      </c>
    </row>
    <row r="87" spans="1:13" x14ac:dyDescent="0.25">
      <c r="A87" s="1">
        <v>45903</v>
      </c>
      <c r="B87">
        <v>643.74</v>
      </c>
      <c r="C87">
        <v>73.64</v>
      </c>
      <c r="D87">
        <v>328.14</v>
      </c>
      <c r="E87">
        <v>71.02</v>
      </c>
      <c r="G87" s="3">
        <f t="shared" si="6"/>
        <v>-5.4049554872298644E-3</v>
      </c>
      <c r="H87" s="3">
        <f t="shared" si="7"/>
        <v>-3.2644207444071423E-3</v>
      </c>
      <c r="I87" s="3">
        <f t="shared" si="8"/>
        <v>-7.8014254607031699E-3</v>
      </c>
      <c r="K87">
        <v>59</v>
      </c>
      <c r="L87" s="3">
        <v>0.05</v>
      </c>
      <c r="M87" s="3">
        <v>-0.11071779892325838</v>
      </c>
    </row>
    <row r="88" spans="1:13" x14ac:dyDescent="0.25">
      <c r="A88" s="1">
        <v>45902</v>
      </c>
      <c r="B88">
        <v>640.27</v>
      </c>
      <c r="C88">
        <v>73.400000000000006</v>
      </c>
      <c r="D88">
        <v>325.58999999999997</v>
      </c>
      <c r="E88">
        <v>70.87</v>
      </c>
      <c r="G88" s="3">
        <f t="shared" si="6"/>
        <v>7.4378707816654677E-3</v>
      </c>
      <c r="H88" s="3">
        <f t="shared" si="7"/>
        <v>5.4347959859567746E-3</v>
      </c>
      <c r="I88" s="3">
        <f t="shared" si="8"/>
        <v>-2.3367436783818842E-2</v>
      </c>
      <c r="K88">
        <v>60</v>
      </c>
      <c r="L88" s="3">
        <v>0.05</v>
      </c>
      <c r="M88" s="3">
        <v>-0.11071779892325838</v>
      </c>
    </row>
    <row r="89" spans="1:13" x14ac:dyDescent="0.25">
      <c r="A89" s="1">
        <v>45898</v>
      </c>
      <c r="B89">
        <v>645.04999999999995</v>
      </c>
      <c r="C89">
        <v>73.8</v>
      </c>
      <c r="D89">
        <v>318.07</v>
      </c>
      <c r="E89">
        <v>71.37</v>
      </c>
      <c r="G89" s="3">
        <f t="shared" si="6"/>
        <v>5.9816093710526024E-3</v>
      </c>
      <c r="H89" s="3">
        <f t="shared" si="7"/>
        <v>1.2187691941294254E-3</v>
      </c>
      <c r="I89" s="3">
        <f t="shared" si="8"/>
        <v>-9.6036119562026567E-3</v>
      </c>
      <c r="K89">
        <v>61</v>
      </c>
      <c r="L89" s="3">
        <v>0.05</v>
      </c>
      <c r="M89" s="3">
        <v>-0.11071779892325838</v>
      </c>
    </row>
    <row r="90" spans="1:13" x14ac:dyDescent="0.25">
      <c r="A90" s="1">
        <v>45897</v>
      </c>
      <c r="B90">
        <v>648.91999999999996</v>
      </c>
      <c r="C90">
        <v>73.89</v>
      </c>
      <c r="D90">
        <v>315.02999999999997</v>
      </c>
      <c r="E90">
        <v>71.69</v>
      </c>
      <c r="G90" s="3">
        <f t="shared" si="6"/>
        <v>-3.5351817914260862E-3</v>
      </c>
      <c r="H90" s="3">
        <f t="shared" si="7"/>
        <v>-1.2187691941294547E-3</v>
      </c>
      <c r="I90" s="3">
        <f t="shared" si="8"/>
        <v>-7.3916289004516108E-3</v>
      </c>
      <c r="K90">
        <v>62</v>
      </c>
      <c r="L90" s="3">
        <v>0.05</v>
      </c>
      <c r="M90" s="3">
        <v>-0.11071779892325838</v>
      </c>
    </row>
    <row r="91" spans="1:13" x14ac:dyDescent="0.25">
      <c r="A91" s="1">
        <v>45896</v>
      </c>
      <c r="B91">
        <v>646.63</v>
      </c>
      <c r="C91">
        <v>73.8</v>
      </c>
      <c r="D91">
        <v>312.70999999999998</v>
      </c>
      <c r="E91">
        <v>71.400000000000006</v>
      </c>
      <c r="G91" s="3">
        <f t="shared" si="6"/>
        <v>-2.2759127017903374E-3</v>
      </c>
      <c r="H91" s="3">
        <f t="shared" si="7"/>
        <v>-9.4895960486747748E-4</v>
      </c>
      <c r="I91" s="3">
        <f t="shared" si="8"/>
        <v>-2.0166782871589165E-3</v>
      </c>
      <c r="K91">
        <v>63</v>
      </c>
      <c r="L91" s="3">
        <v>0.05</v>
      </c>
      <c r="M91" s="3">
        <v>-0.11071779892325838</v>
      </c>
    </row>
    <row r="92" spans="1:13" x14ac:dyDescent="0.25">
      <c r="A92" s="1">
        <v>45895</v>
      </c>
      <c r="B92">
        <v>645.16</v>
      </c>
      <c r="C92">
        <v>73.73</v>
      </c>
      <c r="D92">
        <v>312.08</v>
      </c>
      <c r="E92">
        <v>71.61</v>
      </c>
      <c r="G92" s="3">
        <f t="shared" si="6"/>
        <v>-4.1782249767444912E-3</v>
      </c>
      <c r="H92" s="3">
        <f t="shared" si="7"/>
        <v>-1.2214156366821198E-3</v>
      </c>
      <c r="I92" s="3">
        <f t="shared" si="8"/>
        <v>-7.2358052351818025E-3</v>
      </c>
      <c r="K92">
        <v>64</v>
      </c>
      <c r="L92" s="3">
        <v>0.05</v>
      </c>
      <c r="M92" s="3">
        <v>-0.11071779892325838</v>
      </c>
    </row>
    <row r="93" spans="1:13" x14ac:dyDescent="0.25">
      <c r="A93" s="1">
        <v>45894</v>
      </c>
      <c r="B93">
        <v>642.47</v>
      </c>
      <c r="C93">
        <v>73.64</v>
      </c>
      <c r="D93">
        <v>309.83</v>
      </c>
      <c r="E93">
        <v>71.650000000000006</v>
      </c>
      <c r="G93" s="3">
        <f t="shared" si="6"/>
        <v>4.4106984177009643E-3</v>
      </c>
      <c r="H93" s="3">
        <f t="shared" si="7"/>
        <v>1.357036441121208E-3</v>
      </c>
      <c r="I93" s="3">
        <f t="shared" si="8"/>
        <v>2.4177571778238511E-3</v>
      </c>
      <c r="K93">
        <v>65</v>
      </c>
      <c r="L93" s="3">
        <v>0.05</v>
      </c>
      <c r="M93" s="3">
        <v>-0.11071779892325838</v>
      </c>
    </row>
    <row r="94" spans="1:13" x14ac:dyDescent="0.25">
      <c r="A94" s="1">
        <v>45891</v>
      </c>
      <c r="B94">
        <v>645.30999999999995</v>
      </c>
      <c r="C94">
        <v>73.739999999999995</v>
      </c>
      <c r="D94">
        <v>310.58</v>
      </c>
      <c r="E94">
        <v>72.349999999999994</v>
      </c>
      <c r="G94" s="3">
        <f t="shared" si="6"/>
        <v>-1.524005574926029E-2</v>
      </c>
      <c r="H94" s="3">
        <f t="shared" si="7"/>
        <v>-5.0302600800953782E-3</v>
      </c>
      <c r="I94" s="3">
        <f t="shared" si="8"/>
        <v>-1.0649590024490082E-2</v>
      </c>
      <c r="K94">
        <v>66</v>
      </c>
      <c r="L94" s="3">
        <v>0.05</v>
      </c>
      <c r="M94" s="3">
        <v>-0.11071779892325838</v>
      </c>
    </row>
    <row r="95" spans="1:13" x14ac:dyDescent="0.25">
      <c r="A95" s="1">
        <v>45890</v>
      </c>
      <c r="B95">
        <v>635.54999999999995</v>
      </c>
      <c r="C95">
        <v>73.37</v>
      </c>
      <c r="D95">
        <v>307.29000000000002</v>
      </c>
      <c r="E95">
        <v>71.19</v>
      </c>
      <c r="G95" s="3">
        <f t="shared" si="6"/>
        <v>4.0199165356656725E-3</v>
      </c>
      <c r="H95" s="3">
        <f t="shared" si="7"/>
        <v>2.4503143215436241E-3</v>
      </c>
      <c r="I95" s="3">
        <f t="shared" si="8"/>
        <v>3.4760044745085583E-3</v>
      </c>
      <c r="K95">
        <v>67</v>
      </c>
      <c r="L95" s="3">
        <v>0.05</v>
      </c>
      <c r="M95" s="3">
        <v>-0.11071779892325838</v>
      </c>
    </row>
    <row r="96" spans="1:13" x14ac:dyDescent="0.25">
      <c r="A96" s="1">
        <v>45889</v>
      </c>
      <c r="B96">
        <v>638.11</v>
      </c>
      <c r="C96">
        <v>73.55</v>
      </c>
      <c r="D96">
        <v>308.36</v>
      </c>
      <c r="E96">
        <v>71.459999999999994</v>
      </c>
      <c r="G96" s="3">
        <f t="shared" si="6"/>
        <v>2.660575001267471E-3</v>
      </c>
      <c r="H96" s="3">
        <f t="shared" si="7"/>
        <v>-6.8004082865551435E-4</v>
      </c>
      <c r="I96" s="3">
        <f t="shared" si="8"/>
        <v>-1.0071300681073174E-2</v>
      </c>
      <c r="K96">
        <v>68</v>
      </c>
      <c r="L96" s="3">
        <v>0.05</v>
      </c>
      <c r="M96" s="3">
        <v>-0.11071779892325838</v>
      </c>
    </row>
    <row r="97" spans="1:13" x14ac:dyDescent="0.25">
      <c r="A97" s="1">
        <v>45888</v>
      </c>
      <c r="B97">
        <v>639.80999999999995</v>
      </c>
      <c r="C97">
        <v>73.5</v>
      </c>
      <c r="D97">
        <v>305.27</v>
      </c>
      <c r="E97">
        <v>71.37</v>
      </c>
      <c r="G97" s="3">
        <f t="shared" si="6"/>
        <v>5.4399211393435926E-3</v>
      </c>
      <c r="H97" s="3">
        <f t="shared" si="7"/>
        <v>-1.9065782705816427E-3</v>
      </c>
      <c r="I97" s="3">
        <f t="shared" si="8"/>
        <v>5.4882369635170514E-3</v>
      </c>
      <c r="K97">
        <v>69</v>
      </c>
      <c r="L97" s="3">
        <v>0.05</v>
      </c>
      <c r="M97" s="3">
        <v>-0.11071779892325838</v>
      </c>
    </row>
    <row r="98" spans="1:13" x14ac:dyDescent="0.25">
      <c r="A98" s="1">
        <v>45887</v>
      </c>
      <c r="B98">
        <v>643.29999999999995</v>
      </c>
      <c r="C98">
        <v>73.36</v>
      </c>
      <c r="D98">
        <v>306.95</v>
      </c>
      <c r="E98">
        <v>71.56</v>
      </c>
      <c r="G98" s="3">
        <f t="shared" si="6"/>
        <v>2.1760417885895983E-4</v>
      </c>
      <c r="H98" s="3">
        <f t="shared" si="7"/>
        <v>1.0899183640256005E-3</v>
      </c>
      <c r="I98" s="3">
        <f t="shared" si="8"/>
        <v>1.5625511822085054E-3</v>
      </c>
      <c r="K98">
        <v>70</v>
      </c>
      <c r="L98" s="3">
        <v>0.05</v>
      </c>
      <c r="M98" s="3">
        <v>-0.11071779892325838</v>
      </c>
    </row>
    <row r="99" spans="1:13" x14ac:dyDescent="0.25">
      <c r="A99" s="1">
        <v>45884</v>
      </c>
      <c r="B99">
        <v>643.44000000000005</v>
      </c>
      <c r="C99">
        <v>73.44</v>
      </c>
      <c r="D99">
        <v>307.43</v>
      </c>
      <c r="E99">
        <v>71.459999999999994</v>
      </c>
      <c r="G99" s="3">
        <f t="shared" si="6"/>
        <v>2.3440118153314929E-3</v>
      </c>
      <c r="H99" s="3">
        <f t="shared" si="7"/>
        <v>1.3607295608910671E-3</v>
      </c>
      <c r="I99" s="3">
        <f t="shared" si="8"/>
        <v>-5.8567060956973957E-4</v>
      </c>
      <c r="K99">
        <v>71</v>
      </c>
      <c r="L99" s="3">
        <v>0.05</v>
      </c>
      <c r="M99" s="3">
        <v>-0.11071779892325838</v>
      </c>
    </row>
    <row r="100" spans="1:13" x14ac:dyDescent="0.25">
      <c r="A100" s="1">
        <v>45883</v>
      </c>
      <c r="B100">
        <v>644.95000000000005</v>
      </c>
      <c r="C100">
        <v>73.540000000000006</v>
      </c>
      <c r="D100">
        <v>307.25</v>
      </c>
      <c r="E100">
        <v>71.14</v>
      </c>
      <c r="G100" s="3">
        <f t="shared" si="6"/>
        <v>-9.3034795080557684E-5</v>
      </c>
      <c r="H100" s="3">
        <f t="shared" si="7"/>
        <v>2.8515193468030735E-3</v>
      </c>
      <c r="I100" s="3">
        <f t="shared" si="8"/>
        <v>6.3589092706668503E-3</v>
      </c>
      <c r="K100">
        <v>72</v>
      </c>
      <c r="L100" s="3">
        <v>0.05</v>
      </c>
      <c r="M100" s="3">
        <v>-0.11071779892325838</v>
      </c>
    </row>
    <row r="101" spans="1:13" x14ac:dyDescent="0.25">
      <c r="A101" s="1">
        <v>45882</v>
      </c>
      <c r="B101">
        <v>644.89</v>
      </c>
      <c r="C101">
        <v>73.75</v>
      </c>
      <c r="D101">
        <v>309.20999999999998</v>
      </c>
      <c r="E101">
        <v>71.459999999999994</v>
      </c>
      <c r="G101" s="3">
        <f t="shared" si="6"/>
        <v>-3.4172667188265373E-3</v>
      </c>
      <c r="H101" s="3">
        <f t="shared" si="7"/>
        <v>-3.6677348730042017E-3</v>
      </c>
      <c r="I101" s="3">
        <f t="shared" si="8"/>
        <v>-3.0446353764804644E-3</v>
      </c>
      <c r="K101">
        <v>73</v>
      </c>
      <c r="L101" s="3">
        <v>0.05</v>
      </c>
      <c r="M101" s="3">
        <v>-0.11071779892325838</v>
      </c>
    </row>
    <row r="102" spans="1:13" x14ac:dyDescent="0.25">
      <c r="A102" s="1">
        <v>45881</v>
      </c>
      <c r="B102">
        <v>642.69000000000005</v>
      </c>
      <c r="C102">
        <v>73.48</v>
      </c>
      <c r="D102">
        <v>308.27</v>
      </c>
      <c r="E102">
        <v>71</v>
      </c>
      <c r="G102" s="3">
        <f t="shared" si="6"/>
        <v>-1.0589723632380948E-2</v>
      </c>
      <c r="H102" s="3">
        <f t="shared" si="7"/>
        <v>-1.3610071473894826E-4</v>
      </c>
      <c r="I102" s="3">
        <f t="shared" si="8"/>
        <v>9.0788242674533627E-4</v>
      </c>
      <c r="K102">
        <v>74</v>
      </c>
      <c r="L102" s="3">
        <v>0.05</v>
      </c>
      <c r="M102" s="3">
        <v>-0.11071779892325838</v>
      </c>
    </row>
    <row r="103" spans="1:13" x14ac:dyDescent="0.25">
      <c r="A103" s="1">
        <v>45880</v>
      </c>
      <c r="B103">
        <v>635.91999999999996</v>
      </c>
      <c r="C103">
        <v>73.47</v>
      </c>
      <c r="D103">
        <v>308.55</v>
      </c>
      <c r="E103">
        <v>70.22</v>
      </c>
      <c r="G103" s="3">
        <f t="shared" si="6"/>
        <v>1.9794209589211976E-3</v>
      </c>
      <c r="H103" s="3">
        <f t="shared" si="7"/>
        <v>-6.8078156349774552E-4</v>
      </c>
      <c r="I103" s="3">
        <f t="shared" si="8"/>
        <v>1.4479017424243559E-2</v>
      </c>
      <c r="K103">
        <v>75</v>
      </c>
      <c r="L103" s="3">
        <v>0.05</v>
      </c>
      <c r="M103" s="3">
        <v>-0.11071779892325838</v>
      </c>
    </row>
    <row r="104" spans="1:13" x14ac:dyDescent="0.25">
      <c r="A104" s="1">
        <v>45877</v>
      </c>
      <c r="B104">
        <v>637.17999999999995</v>
      </c>
      <c r="C104">
        <v>73.42</v>
      </c>
      <c r="D104">
        <v>313.05</v>
      </c>
      <c r="E104">
        <v>70.44</v>
      </c>
      <c r="G104" s="3">
        <f t="shared" si="6"/>
        <v>-7.7673046737037135E-3</v>
      </c>
      <c r="H104" s="3">
        <f t="shared" si="7"/>
        <v>2.1768716079399492E-3</v>
      </c>
      <c r="I104" s="3">
        <f t="shared" si="8"/>
        <v>2.23581456446605E-4</v>
      </c>
      <c r="K104">
        <v>76</v>
      </c>
      <c r="L104" s="3">
        <v>0.05</v>
      </c>
      <c r="M104" s="3">
        <v>-0.11071779892325838</v>
      </c>
    </row>
    <row r="105" spans="1:13" x14ac:dyDescent="0.25">
      <c r="A105" s="1">
        <v>45876</v>
      </c>
      <c r="B105">
        <v>632.25</v>
      </c>
      <c r="C105">
        <v>73.58</v>
      </c>
      <c r="D105">
        <v>313.12</v>
      </c>
      <c r="E105">
        <v>70.209999999999994</v>
      </c>
      <c r="G105" s="3">
        <f t="shared" si="6"/>
        <v>8.3792484132414738E-4</v>
      </c>
      <c r="H105" s="3">
        <f t="shared" si="7"/>
        <v>4.076363939862256E-4</v>
      </c>
      <c r="I105" s="3">
        <f t="shared" si="8"/>
        <v>-8.4026022742326907E-3</v>
      </c>
      <c r="K105">
        <v>77</v>
      </c>
      <c r="L105" s="3">
        <v>0.05</v>
      </c>
      <c r="M105" s="3">
        <v>-0.11071779892325838</v>
      </c>
    </row>
    <row r="106" spans="1:13" x14ac:dyDescent="0.25">
      <c r="A106" s="1">
        <v>45875</v>
      </c>
      <c r="B106">
        <v>632.78</v>
      </c>
      <c r="C106">
        <v>73.61</v>
      </c>
      <c r="D106">
        <v>310.5</v>
      </c>
      <c r="E106">
        <v>69.709999999999994</v>
      </c>
      <c r="G106" s="3">
        <f t="shared" si="6"/>
        <v>-7.6304157648932423E-3</v>
      </c>
      <c r="H106" s="3">
        <f t="shared" si="7"/>
        <v>8.1477462410775733E-4</v>
      </c>
      <c r="I106" s="3">
        <f t="shared" si="8"/>
        <v>2.1233479650399432E-3</v>
      </c>
      <c r="K106">
        <v>78</v>
      </c>
      <c r="L106" s="3">
        <v>0.05</v>
      </c>
      <c r="M106" s="3">
        <v>-0.11071779892325838</v>
      </c>
    </row>
    <row r="107" spans="1:13" x14ac:dyDescent="0.25">
      <c r="A107" s="1">
        <v>45874</v>
      </c>
      <c r="B107">
        <v>627.97</v>
      </c>
      <c r="C107">
        <v>73.67</v>
      </c>
      <c r="D107">
        <v>311.16000000000003</v>
      </c>
      <c r="E107">
        <v>69.260000000000005</v>
      </c>
      <c r="G107" s="3">
        <f t="shared" si="6"/>
        <v>5.0828452585327949E-3</v>
      </c>
      <c r="H107" s="3">
        <f t="shared" si="7"/>
        <v>-4.0730432984517455E-4</v>
      </c>
      <c r="I107" s="3">
        <f t="shared" si="8"/>
        <v>-8.0376810795968715E-4</v>
      </c>
      <c r="K107">
        <v>79</v>
      </c>
      <c r="L107" s="3">
        <v>0.05</v>
      </c>
      <c r="M107" s="3">
        <v>-0.11071779892325838</v>
      </c>
    </row>
    <row r="108" spans="1:13" x14ac:dyDescent="0.25">
      <c r="A108" s="1">
        <v>45873</v>
      </c>
      <c r="B108">
        <v>631.16999999999996</v>
      </c>
      <c r="C108">
        <v>73.64</v>
      </c>
      <c r="D108">
        <v>310.91000000000003</v>
      </c>
      <c r="E108">
        <v>69.08</v>
      </c>
      <c r="G108" s="3">
        <f t="shared" si="6"/>
        <v>-1.5085409270341115E-2</v>
      </c>
      <c r="H108" s="3">
        <f t="shared" si="7"/>
        <v>-6.792094263694113E-4</v>
      </c>
      <c r="I108" s="3">
        <f t="shared" si="8"/>
        <v>-5.8062806262100322E-3</v>
      </c>
      <c r="K108">
        <v>80</v>
      </c>
      <c r="L108" s="3">
        <v>0.05</v>
      </c>
      <c r="M108" s="3">
        <v>-0.11071779892325838</v>
      </c>
    </row>
    <row r="109" spans="1:13" x14ac:dyDescent="0.25">
      <c r="A109" s="1">
        <v>45870</v>
      </c>
      <c r="B109">
        <v>621.72</v>
      </c>
      <c r="C109">
        <v>73.59</v>
      </c>
      <c r="D109">
        <v>309.11</v>
      </c>
      <c r="E109">
        <v>68.239999999999995</v>
      </c>
      <c r="G109" s="3">
        <f t="shared" si="6"/>
        <v>1.6526137799780585E-2</v>
      </c>
      <c r="H109" s="3">
        <f t="shared" si="7"/>
        <v>-5.3137259712417971E-3</v>
      </c>
      <c r="I109" s="3">
        <f t="shared" si="8"/>
        <v>-2.0096417010864363E-2</v>
      </c>
      <c r="K109">
        <v>81</v>
      </c>
      <c r="L109" s="3">
        <v>0.05</v>
      </c>
      <c r="M109" s="3">
        <v>-0.11071779892325838</v>
      </c>
    </row>
    <row r="110" spans="1:13" x14ac:dyDescent="0.25">
      <c r="A110" s="1">
        <v>45869</v>
      </c>
      <c r="B110">
        <v>632.08000000000004</v>
      </c>
      <c r="C110">
        <v>73.2</v>
      </c>
      <c r="D110">
        <v>302.95999999999998</v>
      </c>
      <c r="E110">
        <v>68.47</v>
      </c>
      <c r="G110" s="3">
        <f t="shared" si="6"/>
        <v>3.7582749875795613E-3</v>
      </c>
      <c r="H110" s="3">
        <f t="shared" si="7"/>
        <v>-1.3662135413019727E-4</v>
      </c>
      <c r="I110" s="3">
        <f t="shared" si="8"/>
        <v>-6.6234180408191344E-3</v>
      </c>
      <c r="K110">
        <v>82</v>
      </c>
      <c r="L110" s="3">
        <v>0.05</v>
      </c>
      <c r="M110" s="3">
        <v>-0.11071779892325838</v>
      </c>
    </row>
    <row r="111" spans="1:13" x14ac:dyDescent="0.25">
      <c r="A111" s="1">
        <v>45868</v>
      </c>
      <c r="B111">
        <v>634.46</v>
      </c>
      <c r="C111">
        <v>73.19</v>
      </c>
      <c r="D111">
        <v>300.95999999999998</v>
      </c>
      <c r="E111">
        <v>69.03</v>
      </c>
      <c r="G111" s="3">
        <f t="shared" si="6"/>
        <v>1.260120508238447E-3</v>
      </c>
      <c r="H111" s="3">
        <f t="shared" si="7"/>
        <v>2.5926193140003054E-3</v>
      </c>
      <c r="I111" s="3">
        <f t="shared" si="8"/>
        <v>1.742439630621654E-2</v>
      </c>
      <c r="K111">
        <v>83</v>
      </c>
      <c r="L111" s="3">
        <v>0.05</v>
      </c>
      <c r="M111" s="3">
        <v>-0.11071779892325838</v>
      </c>
    </row>
    <row r="112" spans="1:13" x14ac:dyDescent="0.25">
      <c r="A112" s="1">
        <v>45867</v>
      </c>
      <c r="B112">
        <v>635.26</v>
      </c>
      <c r="C112">
        <v>73.38</v>
      </c>
      <c r="D112">
        <v>306.25</v>
      </c>
      <c r="E112">
        <v>69.53</v>
      </c>
      <c r="G112" s="3">
        <f t="shared" si="6"/>
        <v>2.6410957028047345E-3</v>
      </c>
      <c r="H112" s="3">
        <f t="shared" si="7"/>
        <v>-5.191977778744813E-3</v>
      </c>
      <c r="I112" s="3">
        <f t="shared" si="8"/>
        <v>-2.7466256681051024E-3</v>
      </c>
      <c r="K112">
        <v>84</v>
      </c>
      <c r="L112" s="3">
        <v>0.05</v>
      </c>
      <c r="M112" s="3">
        <v>-0.11071779892325838</v>
      </c>
    </row>
    <row r="113" spans="1:13" x14ac:dyDescent="0.25">
      <c r="A113" s="1">
        <v>45866</v>
      </c>
      <c r="B113">
        <v>636.94000000000005</v>
      </c>
      <c r="C113">
        <v>73</v>
      </c>
      <c r="D113">
        <v>305.41000000000003</v>
      </c>
      <c r="E113">
        <v>69.569999999999993</v>
      </c>
      <c r="G113" s="3">
        <f t="shared" si="6"/>
        <v>2.5116950934212965E-4</v>
      </c>
      <c r="H113" s="3">
        <f t="shared" si="7"/>
        <v>1.6424859975034108E-3</v>
      </c>
      <c r="I113" s="3">
        <f t="shared" si="8"/>
        <v>6.4946949136637918E-3</v>
      </c>
      <c r="K113">
        <v>85</v>
      </c>
      <c r="L113" s="3">
        <v>0.05</v>
      </c>
      <c r="M113" s="3">
        <v>-0.11071779892325838</v>
      </c>
    </row>
    <row r="114" spans="1:13" x14ac:dyDescent="0.25">
      <c r="A114" s="1">
        <v>45863</v>
      </c>
      <c r="B114">
        <v>637.1</v>
      </c>
      <c r="C114">
        <v>73.12</v>
      </c>
      <c r="D114">
        <v>307.39999999999998</v>
      </c>
      <c r="E114">
        <v>70.48</v>
      </c>
      <c r="G114" s="3">
        <f t="shared" si="6"/>
        <v>-4.2154334475355869E-3</v>
      </c>
      <c r="H114" s="3">
        <f t="shared" si="7"/>
        <v>-2.4647417653604784E-3</v>
      </c>
      <c r="I114" s="3">
        <f t="shared" si="8"/>
        <v>9.293055044318729E-3</v>
      </c>
      <c r="K114">
        <v>86</v>
      </c>
      <c r="L114" s="3">
        <v>0.05</v>
      </c>
      <c r="M114" s="3">
        <v>-0.11071779892325838</v>
      </c>
    </row>
    <row r="115" spans="1:13" x14ac:dyDescent="0.25">
      <c r="A115" s="1">
        <v>45862</v>
      </c>
      <c r="B115">
        <v>634.41999999999996</v>
      </c>
      <c r="C115">
        <v>72.94</v>
      </c>
      <c r="D115">
        <v>310.27</v>
      </c>
      <c r="E115">
        <v>70.59</v>
      </c>
      <c r="G115" s="3">
        <f t="shared" si="6"/>
        <v>-3.3106579840935948E-4</v>
      </c>
      <c r="H115" s="3">
        <f t="shared" si="7"/>
        <v>1.2331302514842141E-3</v>
      </c>
      <c r="I115" s="3">
        <f t="shared" si="8"/>
        <v>6.1370583814529776E-3</v>
      </c>
      <c r="K115">
        <v>87</v>
      </c>
      <c r="L115" s="3">
        <v>0.05</v>
      </c>
      <c r="M115" s="3">
        <v>-0.11071779892325838</v>
      </c>
    </row>
    <row r="116" spans="1:13" x14ac:dyDescent="0.25">
      <c r="A116" s="1">
        <v>45861</v>
      </c>
      <c r="B116">
        <v>634.21</v>
      </c>
      <c r="C116">
        <v>73.03</v>
      </c>
      <c r="D116">
        <v>312.18</v>
      </c>
      <c r="E116">
        <v>71.069999999999993</v>
      </c>
      <c r="G116" s="3">
        <f t="shared" si="6"/>
        <v>-8.4714734663566531E-3</v>
      </c>
      <c r="H116" s="3">
        <f t="shared" si="7"/>
        <v>2.0518439590424898E-3</v>
      </c>
      <c r="I116" s="3">
        <f t="shared" si="8"/>
        <v>1.2478674691304887E-2</v>
      </c>
      <c r="K116">
        <v>88</v>
      </c>
      <c r="L116" s="3">
        <v>0.05</v>
      </c>
      <c r="M116" s="3">
        <v>-0.11071779892325838</v>
      </c>
    </row>
    <row r="117" spans="1:13" x14ac:dyDescent="0.25">
      <c r="A117" s="1">
        <v>45860</v>
      </c>
      <c r="B117">
        <v>628.86</v>
      </c>
      <c r="C117">
        <v>73.180000000000007</v>
      </c>
      <c r="D117">
        <v>316.10000000000002</v>
      </c>
      <c r="E117">
        <v>69.819999999999993</v>
      </c>
      <c r="G117" s="3">
        <f t="shared" si="6"/>
        <v>-1.4312635696299384E-4</v>
      </c>
      <c r="H117" s="3">
        <f t="shared" si="7"/>
        <v>-1.6411382239243694E-3</v>
      </c>
      <c r="I117" s="3">
        <f t="shared" si="8"/>
        <v>-9.440179446058768E-3</v>
      </c>
      <c r="K117">
        <v>89</v>
      </c>
      <c r="L117" s="3">
        <v>0.05</v>
      </c>
      <c r="M117" s="3">
        <v>-0.11071779892325838</v>
      </c>
    </row>
    <row r="118" spans="1:13" x14ac:dyDescent="0.25">
      <c r="A118" s="1">
        <v>45859</v>
      </c>
      <c r="B118">
        <v>628.77</v>
      </c>
      <c r="C118">
        <v>73.06</v>
      </c>
      <c r="D118">
        <v>313.13</v>
      </c>
      <c r="E118">
        <v>69.53</v>
      </c>
      <c r="G118" s="3">
        <f t="shared" si="6"/>
        <v>-1.8943771335628078E-3</v>
      </c>
      <c r="H118" s="3">
        <f t="shared" si="7"/>
        <v>-2.8784887259226924E-3</v>
      </c>
      <c r="I118" s="3">
        <f t="shared" si="8"/>
        <v>-1.5253224033584768E-2</v>
      </c>
      <c r="K118">
        <v>90</v>
      </c>
      <c r="L118" s="3">
        <v>0.05</v>
      </c>
      <c r="M118" s="3">
        <v>-0.11071779892325838</v>
      </c>
    </row>
    <row r="119" spans="1:13" x14ac:dyDescent="0.25">
      <c r="A119" s="1">
        <v>45856</v>
      </c>
      <c r="B119">
        <v>627.58000000000004</v>
      </c>
      <c r="C119">
        <v>72.849999999999994</v>
      </c>
      <c r="D119">
        <v>308.39</v>
      </c>
      <c r="E119">
        <v>69.11</v>
      </c>
      <c r="G119" s="3">
        <f t="shared" si="6"/>
        <v>7.3270578770564469E-4</v>
      </c>
      <c r="H119" s="3">
        <f t="shared" si="7"/>
        <v>-1.6485784747643504E-3</v>
      </c>
      <c r="I119" s="3">
        <f t="shared" si="8"/>
        <v>-2.5974883918190909E-3</v>
      </c>
      <c r="K119">
        <v>91</v>
      </c>
      <c r="L119" s="3">
        <v>0.05</v>
      </c>
      <c r="M119" s="3">
        <v>-0.11071779892325838</v>
      </c>
    </row>
    <row r="120" spans="1:13" x14ac:dyDescent="0.25">
      <c r="A120" s="1">
        <v>45855</v>
      </c>
      <c r="B120">
        <v>628.04</v>
      </c>
      <c r="C120">
        <v>72.73</v>
      </c>
      <c r="D120">
        <v>307.58999999999997</v>
      </c>
      <c r="E120">
        <v>69.28</v>
      </c>
      <c r="G120" s="3">
        <f t="shared" si="6"/>
        <v>-6.10098837144796E-3</v>
      </c>
      <c r="H120" s="3">
        <f t="shared" si="7"/>
        <v>-2.7502750448402563E-4</v>
      </c>
      <c r="I120" s="3">
        <f t="shared" si="8"/>
        <v>2.1758553684641298E-3</v>
      </c>
      <c r="K120">
        <v>92</v>
      </c>
      <c r="L120" s="3">
        <v>0.05</v>
      </c>
      <c r="M120" s="3">
        <v>-0.11071779892325838</v>
      </c>
    </row>
    <row r="121" spans="1:13" x14ac:dyDescent="0.25">
      <c r="A121" s="1">
        <v>45854</v>
      </c>
      <c r="B121">
        <v>624.22</v>
      </c>
      <c r="C121">
        <v>72.709999999999994</v>
      </c>
      <c r="D121">
        <v>308.26</v>
      </c>
      <c r="E121">
        <v>69.03</v>
      </c>
      <c r="G121" s="3">
        <f t="shared" si="6"/>
        <v>-3.3377225376310096E-3</v>
      </c>
      <c r="H121" s="3">
        <f t="shared" si="7"/>
        <v>-1.9273133719198826E-3</v>
      </c>
      <c r="I121" s="3">
        <f t="shared" si="8"/>
        <v>-4.9757009271456471E-3</v>
      </c>
      <c r="K121">
        <v>93</v>
      </c>
      <c r="L121" s="3">
        <v>0.05</v>
      </c>
      <c r="M121" s="3">
        <v>-0.11071779892325838</v>
      </c>
    </row>
    <row r="122" spans="1:13" x14ac:dyDescent="0.25">
      <c r="A122" s="1">
        <v>45853</v>
      </c>
      <c r="B122">
        <v>622.14</v>
      </c>
      <c r="C122">
        <v>72.569999999999993</v>
      </c>
      <c r="D122">
        <v>306.73</v>
      </c>
      <c r="E122">
        <v>68.73</v>
      </c>
      <c r="G122" s="3">
        <f t="shared" si="6"/>
        <v>4.2824557207927641E-3</v>
      </c>
      <c r="H122" s="3">
        <f t="shared" si="7"/>
        <v>3.0269698401211341E-3</v>
      </c>
      <c r="I122" s="3">
        <f t="shared" si="8"/>
        <v>4.164368187554909E-3</v>
      </c>
      <c r="K122">
        <v>94</v>
      </c>
      <c r="L122" s="3">
        <v>0.05</v>
      </c>
      <c r="M122" s="3">
        <v>-0.11071779892325838</v>
      </c>
    </row>
    <row r="123" spans="1:13" x14ac:dyDescent="0.25">
      <c r="A123" s="1">
        <v>45852</v>
      </c>
      <c r="B123">
        <v>624.80999999999995</v>
      </c>
      <c r="C123">
        <v>72.790000000000006</v>
      </c>
      <c r="D123">
        <v>308.01</v>
      </c>
      <c r="E123">
        <v>69.069999999999993</v>
      </c>
      <c r="G123" s="3">
        <f t="shared" si="6"/>
        <v>-1.9063950087798013E-3</v>
      </c>
      <c r="H123" s="3">
        <f t="shared" si="7"/>
        <v>1.3737207247366335E-4</v>
      </c>
      <c r="I123" s="3">
        <f t="shared" si="8"/>
        <v>3.6619987451893639E-3</v>
      </c>
      <c r="K123">
        <v>95</v>
      </c>
      <c r="L123" s="3">
        <v>0.05</v>
      </c>
      <c r="M123" s="3">
        <v>-0.11071779892325838</v>
      </c>
    </row>
    <row r="124" spans="1:13" x14ac:dyDescent="0.25">
      <c r="A124" s="1">
        <v>45849</v>
      </c>
      <c r="B124">
        <v>623.62</v>
      </c>
      <c r="C124">
        <v>72.8</v>
      </c>
      <c r="D124">
        <v>309.14</v>
      </c>
      <c r="E124">
        <v>69</v>
      </c>
      <c r="G124" s="3">
        <f t="shared" si="6"/>
        <v>3.5215813062080582E-3</v>
      </c>
      <c r="H124" s="3">
        <f t="shared" si="7"/>
        <v>4.1124115530925195E-3</v>
      </c>
      <c r="I124" s="3">
        <f t="shared" si="8"/>
        <v>-9.5557655005891525E-3</v>
      </c>
      <c r="K124">
        <v>96</v>
      </c>
      <c r="L124" s="3">
        <v>0.05</v>
      </c>
      <c r="M124" s="3">
        <v>-0.11071779892325838</v>
      </c>
    </row>
    <row r="125" spans="1:13" x14ac:dyDescent="0.25">
      <c r="A125" s="1">
        <v>45848</v>
      </c>
      <c r="B125">
        <v>625.82000000000005</v>
      </c>
      <c r="C125">
        <v>73.099999999999994</v>
      </c>
      <c r="D125">
        <v>306.2</v>
      </c>
      <c r="E125">
        <v>69.48</v>
      </c>
      <c r="G125" s="3">
        <f t="shared" si="6"/>
        <v>-2.8162722233660629E-3</v>
      </c>
      <c r="H125" s="3">
        <f t="shared" si="7"/>
        <v>-1.3680826343230593E-4</v>
      </c>
      <c r="I125" s="3">
        <f t="shared" si="8"/>
        <v>-2.2232403063226131E-3</v>
      </c>
      <c r="K125">
        <v>97</v>
      </c>
      <c r="L125" s="3">
        <v>0.05</v>
      </c>
      <c r="M125" s="3">
        <v>-0.11071779892325838</v>
      </c>
    </row>
    <row r="126" spans="1:13" x14ac:dyDescent="0.25">
      <c r="A126" s="1">
        <v>45847</v>
      </c>
      <c r="B126">
        <v>624.05999999999995</v>
      </c>
      <c r="C126">
        <v>73.09</v>
      </c>
      <c r="D126">
        <v>305.52</v>
      </c>
      <c r="E126">
        <v>69.38</v>
      </c>
      <c r="G126" s="3">
        <f t="shared" si="6"/>
        <v>-5.9788027664398327E-3</v>
      </c>
      <c r="H126" s="3">
        <f t="shared" si="7"/>
        <v>-3.9756032896601599E-3</v>
      </c>
      <c r="I126" s="3">
        <f t="shared" si="8"/>
        <v>-4.4613641771416258E-3</v>
      </c>
      <c r="K126">
        <v>98</v>
      </c>
      <c r="L126" s="3">
        <v>0.05</v>
      </c>
      <c r="M126" s="3">
        <v>-0.11071779892325838</v>
      </c>
    </row>
    <row r="127" spans="1:13" x14ac:dyDescent="0.25">
      <c r="A127" s="1">
        <v>45846</v>
      </c>
      <c r="B127">
        <v>620.34</v>
      </c>
      <c r="C127">
        <v>72.8</v>
      </c>
      <c r="D127">
        <v>304.16000000000003</v>
      </c>
      <c r="E127">
        <v>69.069999999999993</v>
      </c>
      <c r="G127" s="3">
        <f t="shared" si="6"/>
        <v>5.4793638862631034E-4</v>
      </c>
      <c r="H127" s="3">
        <f t="shared" si="7"/>
        <v>5.4929965676691695E-4</v>
      </c>
      <c r="I127" s="3">
        <f t="shared" si="8"/>
        <v>1.0498354888820231E-2</v>
      </c>
      <c r="K127">
        <v>99</v>
      </c>
      <c r="L127" s="3">
        <v>0.05</v>
      </c>
      <c r="M127" s="3">
        <v>-0.11071779892325838</v>
      </c>
    </row>
    <row r="128" spans="1:13" x14ac:dyDescent="0.25">
      <c r="A128" s="1">
        <v>45845</v>
      </c>
      <c r="B128">
        <v>620.67999999999995</v>
      </c>
      <c r="C128">
        <v>72.84</v>
      </c>
      <c r="D128">
        <v>307.37</v>
      </c>
      <c r="E128">
        <v>68.63</v>
      </c>
      <c r="G128" s="3">
        <f t="shared" si="6"/>
        <v>7.4798506067594722E-3</v>
      </c>
      <c r="H128" s="3">
        <f t="shared" si="7"/>
        <v>3.2894766503987053E-3</v>
      </c>
      <c r="I128" s="3">
        <f t="shared" si="8"/>
        <v>-7.485639313925752E-4</v>
      </c>
      <c r="K128">
        <v>100</v>
      </c>
      <c r="L128" s="3">
        <v>0.05</v>
      </c>
      <c r="M128" s="3">
        <v>-0.11071779892325838</v>
      </c>
    </row>
    <row r="129" spans="1:13" x14ac:dyDescent="0.25">
      <c r="A129" s="1">
        <v>45841</v>
      </c>
      <c r="B129">
        <v>625.34</v>
      </c>
      <c r="C129">
        <v>73.08</v>
      </c>
      <c r="D129">
        <v>307.14</v>
      </c>
      <c r="E129">
        <v>69.489999999999995</v>
      </c>
      <c r="G129" s="3">
        <f t="shared" si="6"/>
        <v>-7.8504806014140921E-3</v>
      </c>
      <c r="H129" s="3">
        <f t="shared" si="7"/>
        <v>2.460025840862399E-3</v>
      </c>
      <c r="I129" s="3">
        <f t="shared" si="8"/>
        <v>6.8463415750504245E-3</v>
      </c>
      <c r="K129">
        <v>101</v>
      </c>
      <c r="L129" s="3">
        <v>0.05</v>
      </c>
      <c r="M129" s="3">
        <v>-0.11071779892325838</v>
      </c>
    </row>
    <row r="130" spans="1:13" x14ac:dyDescent="0.25">
      <c r="A130" s="1">
        <v>45840</v>
      </c>
      <c r="B130">
        <v>620.45000000000005</v>
      </c>
      <c r="C130">
        <v>73.260000000000005</v>
      </c>
      <c r="D130">
        <v>309.25</v>
      </c>
      <c r="E130">
        <v>69.33</v>
      </c>
      <c r="G130" s="3">
        <f t="shared" si="6"/>
        <v>-4.5230672378060019E-3</v>
      </c>
      <c r="H130" s="3">
        <f t="shared" si="7"/>
        <v>1.0914052925115757E-3</v>
      </c>
      <c r="I130" s="3">
        <f t="shared" si="8"/>
        <v>-5.5123356182199788E-3</v>
      </c>
      <c r="K130">
        <v>102</v>
      </c>
      <c r="L130" s="3">
        <v>0.05</v>
      </c>
      <c r="M130" s="3">
        <v>-0.11071779892325838</v>
      </c>
    </row>
    <row r="131" spans="1:13" x14ac:dyDescent="0.25">
      <c r="A131" s="1">
        <v>45839</v>
      </c>
      <c r="B131">
        <v>617.65</v>
      </c>
      <c r="C131">
        <v>73.34</v>
      </c>
      <c r="D131">
        <v>307.55</v>
      </c>
      <c r="E131">
        <v>69.11</v>
      </c>
      <c r="G131" s="3">
        <f t="shared" si="6"/>
        <v>3.2375556737677393E-4</v>
      </c>
      <c r="H131" s="3">
        <f t="shared" si="7"/>
        <v>3.9463887374453464E-3</v>
      </c>
      <c r="I131" s="3">
        <f t="shared" si="8"/>
        <v>-8.8834314884776826E-3</v>
      </c>
      <c r="K131">
        <v>103</v>
      </c>
      <c r="L131" s="3">
        <v>0.05</v>
      </c>
      <c r="M131" s="3">
        <v>-0.11071779892325838</v>
      </c>
    </row>
    <row r="132" spans="1:13" x14ac:dyDescent="0.25">
      <c r="A132" s="1">
        <v>45838</v>
      </c>
      <c r="B132">
        <v>617.85</v>
      </c>
      <c r="C132">
        <v>73.63</v>
      </c>
      <c r="D132">
        <v>304.83</v>
      </c>
      <c r="E132">
        <v>69.09</v>
      </c>
      <c r="G132" s="3">
        <f t="shared" ref="G132:G195" si="9">LN(B133/B132)</f>
        <v>-4.7697939160530186E-3</v>
      </c>
      <c r="H132" s="3">
        <f t="shared" ref="H132:H195" si="10">LN(C133/C132)</f>
        <v>-3.9463887374453794E-3</v>
      </c>
      <c r="I132" s="3">
        <f t="shared" ref="I132:I195" si="11">LN(D133/D132)</f>
        <v>-1.1913349382197021E-2</v>
      </c>
      <c r="K132">
        <v>104</v>
      </c>
      <c r="L132" s="3">
        <v>0.05</v>
      </c>
      <c r="M132" s="3">
        <v>-0.11071779892325838</v>
      </c>
    </row>
    <row r="133" spans="1:13" x14ac:dyDescent="0.25">
      <c r="A133" s="1">
        <v>45835</v>
      </c>
      <c r="B133">
        <v>614.91</v>
      </c>
      <c r="C133">
        <v>73.34</v>
      </c>
      <c r="D133">
        <v>301.22000000000003</v>
      </c>
      <c r="E133">
        <v>68.91</v>
      </c>
      <c r="G133" s="3">
        <f t="shared" si="9"/>
        <v>-4.9560739864365965E-3</v>
      </c>
      <c r="H133" s="3">
        <f t="shared" si="10"/>
        <v>2.3152887428164017E-3</v>
      </c>
      <c r="I133" s="3">
        <f t="shared" si="11"/>
        <v>1.8289983536260112E-2</v>
      </c>
      <c r="K133">
        <v>105</v>
      </c>
      <c r="L133" s="3">
        <v>0.05</v>
      </c>
      <c r="M133" s="3">
        <v>-0.11071779892325838</v>
      </c>
    </row>
    <row r="134" spans="1:13" x14ac:dyDescent="0.25">
      <c r="A134" s="1">
        <v>45834</v>
      </c>
      <c r="B134">
        <v>611.87</v>
      </c>
      <c r="C134">
        <v>73.510000000000005</v>
      </c>
      <c r="D134">
        <v>306.77999999999997</v>
      </c>
      <c r="E134">
        <v>68.63</v>
      </c>
      <c r="G134" s="3">
        <f t="shared" si="9"/>
        <v>-7.7933765520525325E-3</v>
      </c>
      <c r="H134" s="3">
        <f t="shared" si="10"/>
        <v>-2.8608424933906106E-3</v>
      </c>
      <c r="I134" s="3">
        <f t="shared" si="11"/>
        <v>1.1076723725795587E-3</v>
      </c>
      <c r="K134">
        <v>106</v>
      </c>
      <c r="L134" s="3">
        <v>0.05</v>
      </c>
      <c r="M134" s="3">
        <v>-0.11071779892325838</v>
      </c>
    </row>
    <row r="135" spans="1:13" x14ac:dyDescent="0.25">
      <c r="A135" s="1">
        <v>45833</v>
      </c>
      <c r="B135">
        <v>607.12</v>
      </c>
      <c r="C135">
        <v>73.3</v>
      </c>
      <c r="D135">
        <v>307.12</v>
      </c>
      <c r="E135">
        <v>67.959999999999994</v>
      </c>
      <c r="G135" s="3">
        <f t="shared" si="9"/>
        <v>-5.601779535233418E-4</v>
      </c>
      <c r="H135" s="3">
        <f t="shared" si="10"/>
        <v>-2.7288852673092146E-4</v>
      </c>
      <c r="I135" s="3">
        <f t="shared" si="11"/>
        <v>-3.0327263954629236E-3</v>
      </c>
      <c r="K135">
        <v>107</v>
      </c>
      <c r="L135" s="3">
        <v>0.05</v>
      </c>
      <c r="M135" s="3">
        <v>-0.11071779892325838</v>
      </c>
    </row>
    <row r="136" spans="1:13" x14ac:dyDescent="0.25">
      <c r="A136" s="1">
        <v>45832</v>
      </c>
      <c r="B136">
        <v>606.78</v>
      </c>
      <c r="C136">
        <v>73.28</v>
      </c>
      <c r="D136">
        <v>306.19</v>
      </c>
      <c r="E136">
        <v>68.14</v>
      </c>
      <c r="G136" s="3">
        <f t="shared" si="9"/>
        <v>-1.0986663170780299E-2</v>
      </c>
      <c r="H136" s="3">
        <f t="shared" si="10"/>
        <v>-3.0066989987383155E-3</v>
      </c>
      <c r="I136" s="3">
        <f t="shared" si="11"/>
        <v>1.5844289529663137E-2</v>
      </c>
      <c r="K136">
        <v>108</v>
      </c>
      <c r="L136" s="3">
        <v>0.05</v>
      </c>
      <c r="M136" s="3">
        <v>-0.11071779892325838</v>
      </c>
    </row>
    <row r="137" spans="1:13" x14ac:dyDescent="0.25">
      <c r="A137" s="1">
        <v>45831</v>
      </c>
      <c r="B137">
        <v>600.15</v>
      </c>
      <c r="C137">
        <v>73.06</v>
      </c>
      <c r="D137">
        <v>311.08</v>
      </c>
      <c r="E137">
        <v>67.12</v>
      </c>
      <c r="G137" s="3">
        <f t="shared" si="9"/>
        <v>-9.8290352022015557E-3</v>
      </c>
      <c r="H137" s="3">
        <f t="shared" si="10"/>
        <v>-2.4667684154336218E-3</v>
      </c>
      <c r="I137" s="3">
        <f t="shared" si="11"/>
        <v>-3.0585494135066454E-3</v>
      </c>
      <c r="K137">
        <v>109</v>
      </c>
      <c r="L137" s="3">
        <v>0.05</v>
      </c>
      <c r="M137" s="3">
        <v>-0.11071779892325838</v>
      </c>
    </row>
    <row r="138" spans="1:13" x14ac:dyDescent="0.25">
      <c r="A138" s="1">
        <v>45828</v>
      </c>
      <c r="B138">
        <v>594.28</v>
      </c>
      <c r="C138">
        <v>72.88</v>
      </c>
      <c r="D138">
        <v>310.13</v>
      </c>
      <c r="E138">
        <v>66.61</v>
      </c>
      <c r="G138" s="3">
        <f t="shared" si="9"/>
        <v>5.3032715842057411E-3</v>
      </c>
      <c r="H138" s="3">
        <f t="shared" si="10"/>
        <v>-6.8629472187903967E-4</v>
      </c>
      <c r="I138" s="3">
        <f t="shared" si="11"/>
        <v>4.1909122294929218E-4</v>
      </c>
      <c r="K138">
        <v>110</v>
      </c>
      <c r="L138" s="3">
        <v>0.05</v>
      </c>
      <c r="M138" s="3">
        <v>-0.11071779892325838</v>
      </c>
    </row>
    <row r="139" spans="1:13" x14ac:dyDescent="0.25">
      <c r="A139" s="1">
        <v>45826</v>
      </c>
      <c r="B139">
        <v>597.44000000000005</v>
      </c>
      <c r="C139">
        <v>72.83</v>
      </c>
      <c r="D139">
        <v>310.26</v>
      </c>
      <c r="E139">
        <v>67.63</v>
      </c>
      <c r="G139" s="3">
        <f t="shared" si="9"/>
        <v>1.5063139688868294E-4</v>
      </c>
      <c r="H139" s="3">
        <f t="shared" si="10"/>
        <v>-5.4937509965716821E-4</v>
      </c>
      <c r="I139" s="3">
        <f t="shared" si="11"/>
        <v>5.4002059874944256E-3</v>
      </c>
      <c r="K139">
        <v>111</v>
      </c>
      <c r="L139" s="3">
        <v>0.05</v>
      </c>
      <c r="M139" s="3">
        <v>-0.11071779892325838</v>
      </c>
    </row>
    <row r="140" spans="1:13" x14ac:dyDescent="0.25">
      <c r="A140" s="1">
        <v>45825</v>
      </c>
      <c r="B140">
        <v>597.53</v>
      </c>
      <c r="C140">
        <v>72.790000000000006</v>
      </c>
      <c r="D140">
        <v>311.94</v>
      </c>
      <c r="E140">
        <v>67.55</v>
      </c>
      <c r="G140" s="3">
        <f t="shared" si="9"/>
        <v>8.5818841828409938E-3</v>
      </c>
      <c r="H140" s="3">
        <f t="shared" si="10"/>
        <v>-3.1647773232853947E-3</v>
      </c>
      <c r="I140" s="3">
        <f t="shared" si="11"/>
        <v>-5.1305073914456861E-4</v>
      </c>
      <c r="K140">
        <v>112</v>
      </c>
      <c r="L140" s="3">
        <v>0.05</v>
      </c>
      <c r="M140" s="3">
        <v>-0.11071779892325838</v>
      </c>
    </row>
    <row r="141" spans="1:13" x14ac:dyDescent="0.25">
      <c r="A141" s="1">
        <v>45824</v>
      </c>
      <c r="B141">
        <v>602.67999999999995</v>
      </c>
      <c r="C141">
        <v>72.56</v>
      </c>
      <c r="D141">
        <v>311.77999999999997</v>
      </c>
      <c r="E141">
        <v>68.39</v>
      </c>
      <c r="G141" s="3">
        <f t="shared" si="9"/>
        <v>-9.4692625404855651E-3</v>
      </c>
      <c r="H141" s="3">
        <f t="shared" si="10"/>
        <v>1.9275787325924291E-3</v>
      </c>
      <c r="I141" s="3">
        <f t="shared" si="11"/>
        <v>1.4361703372433338E-2</v>
      </c>
      <c r="K141">
        <v>113</v>
      </c>
      <c r="L141" s="3">
        <v>0.05</v>
      </c>
      <c r="M141" s="3">
        <v>-0.11071779892325838</v>
      </c>
    </row>
    <row r="142" spans="1:13" x14ac:dyDescent="0.25">
      <c r="A142" s="1">
        <v>45821</v>
      </c>
      <c r="B142">
        <v>597</v>
      </c>
      <c r="C142">
        <v>72.7</v>
      </c>
      <c r="D142">
        <v>316.29000000000002</v>
      </c>
      <c r="E142">
        <v>67.94</v>
      </c>
      <c r="G142" s="3">
        <f t="shared" si="9"/>
        <v>1.1243091574180377E-2</v>
      </c>
      <c r="H142" s="3">
        <f t="shared" si="10"/>
        <v>3.5699612266021185E-3</v>
      </c>
      <c r="I142" s="3">
        <f t="shared" si="11"/>
        <v>-1.3015506175636408E-2</v>
      </c>
      <c r="K142">
        <v>114</v>
      </c>
      <c r="L142" s="3">
        <v>0.05</v>
      </c>
      <c r="M142" s="3">
        <v>-0.11071779892325838</v>
      </c>
    </row>
    <row r="143" spans="1:13" x14ac:dyDescent="0.25">
      <c r="A143" s="1">
        <v>45820</v>
      </c>
      <c r="B143">
        <v>603.75</v>
      </c>
      <c r="C143">
        <v>72.959999999999994</v>
      </c>
      <c r="D143">
        <v>312.2</v>
      </c>
      <c r="E143">
        <v>68.86</v>
      </c>
      <c r="G143" s="3">
        <f t="shared" si="9"/>
        <v>-3.9664480975689798E-3</v>
      </c>
      <c r="H143" s="3">
        <f t="shared" si="10"/>
        <v>-3.7075222695318881E-3</v>
      </c>
      <c r="I143" s="3">
        <f t="shared" si="11"/>
        <v>-1.2343647388391292E-2</v>
      </c>
      <c r="K143">
        <v>115</v>
      </c>
      <c r="L143" s="3">
        <v>0.05</v>
      </c>
      <c r="M143" s="3">
        <v>-0.11071779892325838</v>
      </c>
    </row>
    <row r="144" spans="1:13" x14ac:dyDescent="0.25">
      <c r="A144" s="1">
        <v>45819</v>
      </c>
      <c r="B144">
        <v>601.36</v>
      </c>
      <c r="C144">
        <v>72.69</v>
      </c>
      <c r="D144">
        <v>308.37</v>
      </c>
      <c r="E144">
        <v>68.48</v>
      </c>
      <c r="G144" s="3">
        <f t="shared" si="9"/>
        <v>2.8561010415043956E-3</v>
      </c>
      <c r="H144" s="3">
        <f t="shared" si="10"/>
        <v>-3.1691380296129412E-3</v>
      </c>
      <c r="I144" s="3">
        <f t="shared" si="11"/>
        <v>-5.3976849526569609E-3</v>
      </c>
      <c r="K144">
        <v>116</v>
      </c>
      <c r="L144" s="3">
        <v>0.05</v>
      </c>
      <c r="M144" s="3">
        <v>-0.11071779892325838</v>
      </c>
    </row>
    <row r="145" spans="1:13" x14ac:dyDescent="0.25">
      <c r="A145" s="1">
        <v>45818</v>
      </c>
      <c r="B145">
        <v>603.08000000000004</v>
      </c>
      <c r="C145">
        <v>72.459999999999994</v>
      </c>
      <c r="D145">
        <v>306.70999999999998</v>
      </c>
      <c r="E145">
        <v>68.42</v>
      </c>
      <c r="G145" s="3">
        <f t="shared" si="9"/>
        <v>-5.6536783007152414E-3</v>
      </c>
      <c r="H145" s="3">
        <f t="shared" si="10"/>
        <v>-1.933969383010146E-3</v>
      </c>
      <c r="I145" s="3">
        <f t="shared" si="11"/>
        <v>-2.9347985797514804E-4</v>
      </c>
      <c r="K145">
        <v>117</v>
      </c>
      <c r="L145" s="3">
        <v>0.05</v>
      </c>
      <c r="M145" s="3">
        <v>-0.11071779892325838</v>
      </c>
    </row>
    <row r="146" spans="1:13" x14ac:dyDescent="0.25">
      <c r="A146" s="1">
        <v>45817</v>
      </c>
      <c r="B146">
        <v>599.67999999999995</v>
      </c>
      <c r="C146">
        <v>72.319999999999993</v>
      </c>
      <c r="D146">
        <v>306.62</v>
      </c>
      <c r="E146">
        <v>68.17</v>
      </c>
      <c r="G146" s="3">
        <f t="shared" si="9"/>
        <v>-9.0088593203609254E-4</v>
      </c>
      <c r="H146" s="3">
        <f t="shared" si="10"/>
        <v>-1.5221756208307958E-3</v>
      </c>
      <c r="I146" s="3">
        <f t="shared" si="11"/>
        <v>-4.7074294187185711E-3</v>
      </c>
      <c r="K146">
        <v>118</v>
      </c>
      <c r="L146" s="3">
        <v>0.05</v>
      </c>
      <c r="M146" s="3">
        <v>-0.11071779892325838</v>
      </c>
    </row>
    <row r="147" spans="1:13" x14ac:dyDescent="0.25">
      <c r="A147" s="1">
        <v>45814</v>
      </c>
      <c r="B147">
        <v>599.14</v>
      </c>
      <c r="C147">
        <v>72.209999999999994</v>
      </c>
      <c r="D147">
        <v>305.18</v>
      </c>
      <c r="E147">
        <v>68.010000000000005</v>
      </c>
      <c r="G147" s="3">
        <f t="shared" si="9"/>
        <v>-1.0216581202681809E-2</v>
      </c>
      <c r="H147" s="3">
        <f t="shared" si="10"/>
        <v>5.3863813676600907E-3</v>
      </c>
      <c r="I147" s="3">
        <f t="shared" si="11"/>
        <v>1.3506901734372303E-2</v>
      </c>
      <c r="K147">
        <v>119</v>
      </c>
      <c r="L147" s="3">
        <v>0.05</v>
      </c>
      <c r="M147" s="3">
        <v>-0.11071779892325838</v>
      </c>
    </row>
    <row r="148" spans="1:13" x14ac:dyDescent="0.25">
      <c r="A148" s="1">
        <v>45813</v>
      </c>
      <c r="B148">
        <v>593.04999999999995</v>
      </c>
      <c r="C148">
        <v>72.599999999999994</v>
      </c>
      <c r="D148">
        <v>309.33</v>
      </c>
      <c r="E148">
        <v>67.83</v>
      </c>
      <c r="G148" s="3">
        <f t="shared" si="9"/>
        <v>4.8444980278834976E-3</v>
      </c>
      <c r="H148" s="3">
        <f t="shared" si="10"/>
        <v>1.9265177280925131E-3</v>
      </c>
      <c r="I148" s="3">
        <f t="shared" si="11"/>
        <v>5.0626488667461743E-3</v>
      </c>
      <c r="K148">
        <v>120</v>
      </c>
      <c r="L148" s="3">
        <v>0.05</v>
      </c>
      <c r="M148" s="3">
        <v>-0.11071779892325838</v>
      </c>
    </row>
    <row r="149" spans="1:13" x14ac:dyDescent="0.25">
      <c r="A149" s="1">
        <v>45812</v>
      </c>
      <c r="B149">
        <v>595.92999999999995</v>
      </c>
      <c r="C149">
        <v>72.739999999999995</v>
      </c>
      <c r="D149">
        <v>310.89999999999998</v>
      </c>
      <c r="E149">
        <v>67.739999999999995</v>
      </c>
      <c r="G149" s="3">
        <f t="shared" si="9"/>
        <v>2.68451873225218E-4</v>
      </c>
      <c r="H149" s="3">
        <f t="shared" si="10"/>
        <v>-6.2056325466370811E-3</v>
      </c>
      <c r="I149" s="3">
        <f t="shared" si="11"/>
        <v>-6.4213447279387889E-3</v>
      </c>
      <c r="K149">
        <v>121</v>
      </c>
      <c r="L149" s="3">
        <v>0.05</v>
      </c>
      <c r="M149" s="3">
        <v>-0.11071779892325838</v>
      </c>
    </row>
    <row r="150" spans="1:13" x14ac:dyDescent="0.25">
      <c r="A150" s="1">
        <v>45811</v>
      </c>
      <c r="B150">
        <v>596.09</v>
      </c>
      <c r="C150">
        <v>72.290000000000006</v>
      </c>
      <c r="D150">
        <v>308.91000000000003</v>
      </c>
      <c r="E150">
        <v>67.3</v>
      </c>
      <c r="G150" s="3">
        <f t="shared" si="9"/>
        <v>-5.6864217829699403E-3</v>
      </c>
      <c r="H150" s="3">
        <f t="shared" si="10"/>
        <v>1.1060418658304359E-3</v>
      </c>
      <c r="I150" s="3">
        <f t="shared" si="11"/>
        <v>8.8949634137808781E-3</v>
      </c>
      <c r="K150">
        <v>122</v>
      </c>
      <c r="L150" s="3">
        <v>0.05</v>
      </c>
      <c r="M150" s="3">
        <v>-0.11071779892325838</v>
      </c>
    </row>
    <row r="151" spans="1:13" x14ac:dyDescent="0.25">
      <c r="A151" s="1">
        <v>45810</v>
      </c>
      <c r="B151">
        <v>592.71</v>
      </c>
      <c r="C151">
        <v>72.37</v>
      </c>
      <c r="D151">
        <v>311.67</v>
      </c>
      <c r="E151">
        <v>67.63</v>
      </c>
      <c r="G151" s="3">
        <f t="shared" si="9"/>
        <v>-5.6171368402753354E-3</v>
      </c>
      <c r="H151" s="3">
        <f t="shared" si="10"/>
        <v>5.5119334809585717E-3</v>
      </c>
      <c r="I151" s="3">
        <f t="shared" si="11"/>
        <v>-2.6233890229075071E-2</v>
      </c>
      <c r="K151">
        <v>123</v>
      </c>
      <c r="L151" s="3">
        <v>0.05</v>
      </c>
      <c r="M151" s="3">
        <v>-0.11071779892325838</v>
      </c>
    </row>
    <row r="152" spans="1:13" x14ac:dyDescent="0.25">
      <c r="A152" s="1">
        <v>45807</v>
      </c>
      <c r="B152">
        <v>589.39</v>
      </c>
      <c r="C152">
        <v>72.77</v>
      </c>
      <c r="D152">
        <v>303.60000000000002</v>
      </c>
      <c r="E152">
        <v>66.94</v>
      </c>
      <c r="G152" s="3">
        <f t="shared" si="9"/>
        <v>1.119175318609419E-3</v>
      </c>
      <c r="H152" s="3">
        <f t="shared" si="10"/>
        <v>-1.9257227409182967E-3</v>
      </c>
      <c r="I152" s="3">
        <f t="shared" si="11"/>
        <v>6.5987337486097253E-3</v>
      </c>
      <c r="K152">
        <v>124</v>
      </c>
      <c r="L152" s="3">
        <v>0.05</v>
      </c>
      <c r="M152" s="3">
        <v>-0.11071779892325838</v>
      </c>
    </row>
    <row r="153" spans="1:13" x14ac:dyDescent="0.25">
      <c r="A153" s="1">
        <v>45806</v>
      </c>
      <c r="B153">
        <v>590.04999999999995</v>
      </c>
      <c r="C153">
        <v>72.63</v>
      </c>
      <c r="D153">
        <v>305.61</v>
      </c>
      <c r="E153">
        <v>67.11</v>
      </c>
      <c r="G153" s="3">
        <f t="shared" si="9"/>
        <v>-3.9396203037071415E-3</v>
      </c>
      <c r="H153" s="3">
        <f t="shared" si="10"/>
        <v>-3.5862107400403236E-3</v>
      </c>
      <c r="I153" s="3">
        <f t="shared" si="11"/>
        <v>-5.9072732577814032E-3</v>
      </c>
      <c r="K153">
        <v>125</v>
      </c>
      <c r="L153" s="3">
        <v>0.05</v>
      </c>
      <c r="M153" s="3">
        <v>-0.11071779892325838</v>
      </c>
    </row>
    <row r="154" spans="1:13" x14ac:dyDescent="0.25">
      <c r="A154" s="1">
        <v>45805</v>
      </c>
      <c r="B154">
        <v>587.73</v>
      </c>
      <c r="C154">
        <v>72.37</v>
      </c>
      <c r="D154">
        <v>303.81</v>
      </c>
      <c r="E154">
        <v>66.819999999999993</v>
      </c>
      <c r="G154" s="3">
        <f t="shared" si="9"/>
        <v>5.8021335410717561E-3</v>
      </c>
      <c r="H154" s="3">
        <f t="shared" si="10"/>
        <v>2.2084204972847498E-3</v>
      </c>
      <c r="I154" s="3">
        <f t="shared" si="11"/>
        <v>2.2685811376482799E-3</v>
      </c>
      <c r="K154">
        <v>126</v>
      </c>
      <c r="L154" s="3">
        <v>0.05</v>
      </c>
      <c r="M154" s="3">
        <v>-0.11071779892325838</v>
      </c>
    </row>
    <row r="155" spans="1:13" x14ac:dyDescent="0.25">
      <c r="A155" s="1">
        <v>45804</v>
      </c>
      <c r="B155">
        <v>591.15</v>
      </c>
      <c r="C155">
        <v>72.53</v>
      </c>
      <c r="D155">
        <v>304.5</v>
      </c>
      <c r="E155">
        <v>67.400000000000006</v>
      </c>
      <c r="G155" s="3">
        <f t="shared" si="9"/>
        <v>-2.0577350051717493E-2</v>
      </c>
      <c r="H155" s="3">
        <f t="shared" si="10"/>
        <v>-4.6987372242514114E-3</v>
      </c>
      <c r="I155" s="3">
        <f t="shared" si="11"/>
        <v>1.709443335930004E-2</v>
      </c>
      <c r="K155">
        <v>127</v>
      </c>
      <c r="L155" s="3">
        <v>0.05</v>
      </c>
      <c r="M155" s="3">
        <v>-0.11071779892325838</v>
      </c>
    </row>
    <row r="156" spans="1:13" x14ac:dyDescent="0.25">
      <c r="A156" s="1">
        <v>45800</v>
      </c>
      <c r="B156">
        <v>579.11</v>
      </c>
      <c r="C156">
        <v>72.19</v>
      </c>
      <c r="D156">
        <v>309.75</v>
      </c>
      <c r="E156">
        <v>66.75</v>
      </c>
      <c r="G156" s="3">
        <f t="shared" si="9"/>
        <v>6.849106106617678E-3</v>
      </c>
      <c r="H156" s="3">
        <f t="shared" si="10"/>
        <v>-1.5249188509871502E-3</v>
      </c>
      <c r="I156" s="3">
        <f t="shared" si="11"/>
        <v>-2.166974457798666E-2</v>
      </c>
      <c r="K156">
        <v>128</v>
      </c>
      <c r="L156" s="3">
        <v>0.05</v>
      </c>
      <c r="M156" s="3">
        <v>-0.11071779892325838</v>
      </c>
    </row>
    <row r="157" spans="1:13" x14ac:dyDescent="0.25">
      <c r="A157" s="1">
        <v>45799</v>
      </c>
      <c r="B157">
        <v>583.09</v>
      </c>
      <c r="C157">
        <v>72.08</v>
      </c>
      <c r="D157">
        <v>303.11</v>
      </c>
      <c r="E157">
        <v>66.53</v>
      </c>
      <c r="G157" s="3">
        <f t="shared" si="9"/>
        <v>-3.9452807235880645E-4</v>
      </c>
      <c r="H157" s="3">
        <f t="shared" si="10"/>
        <v>-2.7785513847242158E-3</v>
      </c>
      <c r="I157" s="3">
        <f t="shared" si="11"/>
        <v>8.9009176487401843E-3</v>
      </c>
      <c r="K157">
        <v>129</v>
      </c>
      <c r="L157" s="3">
        <v>0.05</v>
      </c>
      <c r="M157" s="3">
        <v>-0.11071779892325838</v>
      </c>
    </row>
    <row r="158" spans="1:13" x14ac:dyDescent="0.25">
      <c r="A158" s="1">
        <v>45798</v>
      </c>
      <c r="B158">
        <v>582.86</v>
      </c>
      <c r="C158">
        <v>71.88</v>
      </c>
      <c r="D158">
        <v>305.82</v>
      </c>
      <c r="E158">
        <v>66.64</v>
      </c>
      <c r="G158" s="3">
        <f t="shared" si="9"/>
        <v>1.6994395612415728E-2</v>
      </c>
      <c r="H158" s="3">
        <f t="shared" si="10"/>
        <v>6.2409189458311675E-3</v>
      </c>
      <c r="I158" s="3">
        <f t="shared" si="11"/>
        <v>-7.3515263812922119E-3</v>
      </c>
      <c r="K158">
        <v>130</v>
      </c>
      <c r="L158" s="3">
        <v>0.05</v>
      </c>
      <c r="M158" s="3">
        <v>-0.11071779892325838</v>
      </c>
    </row>
    <row r="159" spans="1:13" x14ac:dyDescent="0.25">
      <c r="A159" s="1">
        <v>45797</v>
      </c>
      <c r="B159">
        <v>592.85</v>
      </c>
      <c r="C159">
        <v>72.33</v>
      </c>
      <c r="D159">
        <v>303.58</v>
      </c>
      <c r="E159">
        <v>66.95</v>
      </c>
      <c r="G159" s="3">
        <f t="shared" si="9"/>
        <v>3.3678570184553971E-3</v>
      </c>
      <c r="H159" s="3">
        <f t="shared" si="10"/>
        <v>1.795704605741713E-3</v>
      </c>
      <c r="I159" s="3">
        <f t="shared" si="11"/>
        <v>-1.8451014619368333E-2</v>
      </c>
      <c r="K159">
        <v>131</v>
      </c>
      <c r="L159" s="3">
        <v>0.05</v>
      </c>
      <c r="M159" s="3">
        <v>-0.11071779892325838</v>
      </c>
    </row>
    <row r="160" spans="1:13" x14ac:dyDescent="0.25">
      <c r="A160" s="1">
        <v>45796</v>
      </c>
      <c r="B160">
        <v>594.85</v>
      </c>
      <c r="C160">
        <v>72.459999999999994</v>
      </c>
      <c r="D160">
        <v>298.02999999999997</v>
      </c>
      <c r="E160">
        <v>66.739999999999995</v>
      </c>
      <c r="G160" s="3">
        <f t="shared" si="9"/>
        <v>-1.0933098940277104E-3</v>
      </c>
      <c r="H160" s="3">
        <f t="shared" si="10"/>
        <v>2.7597626779286345E-4</v>
      </c>
      <c r="I160" s="3">
        <f t="shared" si="11"/>
        <v>-1.2798391723333713E-2</v>
      </c>
      <c r="K160">
        <v>132</v>
      </c>
      <c r="L160" s="3">
        <v>0.05</v>
      </c>
      <c r="M160" s="3">
        <v>-0.11071779892325838</v>
      </c>
    </row>
    <row r="161" spans="1:13" x14ac:dyDescent="0.25">
      <c r="A161" s="1">
        <v>45793</v>
      </c>
      <c r="B161">
        <v>594.20000000000005</v>
      </c>
      <c r="C161">
        <v>72.48</v>
      </c>
      <c r="D161">
        <v>294.24</v>
      </c>
      <c r="E161">
        <v>66.290000000000006</v>
      </c>
      <c r="G161" s="3">
        <f t="shared" si="9"/>
        <v>-6.3140688895581415E-3</v>
      </c>
      <c r="H161" s="3">
        <f t="shared" si="10"/>
        <v>-6.9008352748911063E-4</v>
      </c>
      <c r="I161" s="3">
        <f t="shared" si="11"/>
        <v>1.2160668708450353E-2</v>
      </c>
      <c r="K161">
        <v>133</v>
      </c>
      <c r="L161" s="3">
        <v>0.05</v>
      </c>
      <c r="M161" s="3">
        <v>-0.11071779892325838</v>
      </c>
    </row>
    <row r="162" spans="1:13" x14ac:dyDescent="0.25">
      <c r="A162" s="1">
        <v>45792</v>
      </c>
      <c r="B162">
        <v>590.46</v>
      </c>
      <c r="C162">
        <v>72.430000000000007</v>
      </c>
      <c r="D162">
        <v>297.83999999999997</v>
      </c>
      <c r="E162">
        <v>66.209999999999994</v>
      </c>
      <c r="G162" s="3">
        <f t="shared" si="9"/>
        <v>-4.872468363891394E-3</v>
      </c>
      <c r="H162" s="3">
        <f t="shared" si="10"/>
        <v>-5.3990578994794107E-3</v>
      </c>
      <c r="I162" s="3">
        <f t="shared" si="11"/>
        <v>-1.5837894506811889E-2</v>
      </c>
      <c r="K162">
        <v>134</v>
      </c>
      <c r="L162" s="3">
        <v>0.05</v>
      </c>
      <c r="M162" s="3">
        <v>-0.11071779892325838</v>
      </c>
    </row>
    <row r="163" spans="1:13" x14ac:dyDescent="0.25">
      <c r="A163" s="1">
        <v>45791</v>
      </c>
      <c r="B163">
        <v>587.59</v>
      </c>
      <c r="C163">
        <v>72.040000000000006</v>
      </c>
      <c r="D163">
        <v>293.16000000000003</v>
      </c>
      <c r="E163">
        <v>65.69</v>
      </c>
      <c r="G163" s="3">
        <f t="shared" si="9"/>
        <v>-1.2772155036144346E-3</v>
      </c>
      <c r="H163" s="3">
        <f t="shared" si="10"/>
        <v>3.4642867044504377E-3</v>
      </c>
      <c r="I163" s="3">
        <f t="shared" si="11"/>
        <v>2.1262317651923313E-2</v>
      </c>
      <c r="K163">
        <v>135</v>
      </c>
      <c r="L163" s="3">
        <v>0.05</v>
      </c>
      <c r="M163" s="3">
        <v>-0.11071779892325838</v>
      </c>
    </row>
    <row r="164" spans="1:13" x14ac:dyDescent="0.25">
      <c r="A164" s="1">
        <v>45790</v>
      </c>
      <c r="B164">
        <v>586.84</v>
      </c>
      <c r="C164">
        <v>72.290000000000006</v>
      </c>
      <c r="D164">
        <v>299.45999999999998</v>
      </c>
      <c r="E164">
        <v>65.739999999999995</v>
      </c>
      <c r="G164" s="3">
        <f t="shared" si="9"/>
        <v>-6.5821767267215834E-3</v>
      </c>
      <c r="H164" s="3">
        <f t="shared" si="10"/>
        <v>4.1490907171507684E-4</v>
      </c>
      <c r="I164" s="3">
        <f t="shared" si="11"/>
        <v>-4.2499854818068752E-3</v>
      </c>
      <c r="K164">
        <v>136</v>
      </c>
      <c r="L164" s="3">
        <v>0.05</v>
      </c>
      <c r="M164" s="3">
        <v>-0.11071779892325838</v>
      </c>
    </row>
    <row r="165" spans="1:13" x14ac:dyDescent="0.25">
      <c r="A165" s="1">
        <v>45789</v>
      </c>
      <c r="B165">
        <v>582.99</v>
      </c>
      <c r="C165">
        <v>72.319999999999993</v>
      </c>
      <c r="D165">
        <v>298.19</v>
      </c>
      <c r="E165">
        <v>65.61</v>
      </c>
      <c r="G165" s="3">
        <f t="shared" si="9"/>
        <v>-3.2513126800388634E-2</v>
      </c>
      <c r="H165" s="3">
        <f t="shared" si="10"/>
        <v>3.4508972061244188E-3</v>
      </c>
      <c r="I165" s="3">
        <f t="shared" si="11"/>
        <v>2.8595571863329557E-2</v>
      </c>
      <c r="K165">
        <v>137</v>
      </c>
      <c r="L165" s="3">
        <v>0.05</v>
      </c>
      <c r="M165" s="3">
        <v>-0.11071779892325838</v>
      </c>
    </row>
    <row r="166" spans="1:13" x14ac:dyDescent="0.25">
      <c r="A166" s="1">
        <v>45786</v>
      </c>
      <c r="B166">
        <v>564.34</v>
      </c>
      <c r="C166">
        <v>72.569999999999993</v>
      </c>
      <c r="D166">
        <v>306.83999999999997</v>
      </c>
      <c r="E166">
        <v>64.97</v>
      </c>
      <c r="G166" s="3">
        <f t="shared" si="9"/>
        <v>1.2750134541161934E-3</v>
      </c>
      <c r="H166" s="3">
        <f t="shared" si="10"/>
        <v>-8.2712990654412678E-4</v>
      </c>
      <c r="I166" s="3">
        <f t="shared" si="11"/>
        <v>-7.2285136571199485E-3</v>
      </c>
      <c r="K166">
        <v>138</v>
      </c>
      <c r="L166" s="3">
        <v>0.05</v>
      </c>
      <c r="M166" s="3">
        <v>-0.11071779892325838</v>
      </c>
    </row>
    <row r="167" spans="1:13" x14ac:dyDescent="0.25">
      <c r="A167" s="1">
        <v>45785</v>
      </c>
      <c r="B167">
        <v>565.05999999999995</v>
      </c>
      <c r="C167">
        <v>72.510000000000005</v>
      </c>
      <c r="D167">
        <v>304.63</v>
      </c>
      <c r="E167">
        <v>64.61</v>
      </c>
      <c r="G167" s="3">
        <f t="shared" si="9"/>
        <v>-6.9436707361846097E-3</v>
      </c>
      <c r="H167" s="3">
        <f t="shared" si="10"/>
        <v>5.3641556311111857E-3</v>
      </c>
      <c r="I167" s="3">
        <f t="shared" si="11"/>
        <v>1.989080495684482E-2</v>
      </c>
      <c r="K167">
        <v>139</v>
      </c>
      <c r="L167" s="3">
        <v>0.05</v>
      </c>
      <c r="M167" s="3">
        <v>-0.11071779892325838</v>
      </c>
    </row>
    <row r="168" spans="1:13" x14ac:dyDescent="0.25">
      <c r="A168" s="1">
        <v>45784</v>
      </c>
      <c r="B168">
        <v>561.15</v>
      </c>
      <c r="C168">
        <v>72.900000000000006</v>
      </c>
      <c r="D168">
        <v>310.75</v>
      </c>
      <c r="E168">
        <v>64.78</v>
      </c>
      <c r="G168" s="3">
        <f t="shared" si="9"/>
        <v>-4.1966220794581394E-3</v>
      </c>
      <c r="H168" s="3">
        <f t="shared" si="10"/>
        <v>-1.9222853646909215E-3</v>
      </c>
      <c r="I168" s="3">
        <f t="shared" si="11"/>
        <v>1.5106558138969613E-2</v>
      </c>
      <c r="K168">
        <v>140</v>
      </c>
      <c r="L168" s="3">
        <v>0.05</v>
      </c>
      <c r="M168" s="3">
        <v>-0.11071779892325838</v>
      </c>
    </row>
    <row r="169" spans="1:13" x14ac:dyDescent="0.25">
      <c r="A169" s="1">
        <v>45783</v>
      </c>
      <c r="B169">
        <v>558.79999999999995</v>
      </c>
      <c r="C169">
        <v>72.760000000000005</v>
      </c>
      <c r="D169">
        <v>315.48</v>
      </c>
      <c r="E169">
        <v>65.16</v>
      </c>
      <c r="G169" s="3">
        <f t="shared" si="9"/>
        <v>8.3934521684882885E-3</v>
      </c>
      <c r="H169" s="3">
        <f t="shared" si="10"/>
        <v>-2.2014318191712831E-3</v>
      </c>
      <c r="I169" s="3">
        <f t="shared" si="11"/>
        <v>-2.7638496834716874E-2</v>
      </c>
      <c r="K169">
        <v>141</v>
      </c>
      <c r="L169" s="3">
        <v>0.05</v>
      </c>
      <c r="M169" s="3">
        <v>-0.11071779892325838</v>
      </c>
    </row>
    <row r="170" spans="1:13" x14ac:dyDescent="0.25">
      <c r="A170" s="1">
        <v>45782</v>
      </c>
      <c r="B170">
        <v>563.51</v>
      </c>
      <c r="C170">
        <v>72.599999999999994</v>
      </c>
      <c r="D170">
        <v>306.88</v>
      </c>
      <c r="E170">
        <v>65.27</v>
      </c>
      <c r="G170" s="3">
        <f t="shared" si="9"/>
        <v>5.7508541447312614E-3</v>
      </c>
      <c r="H170" s="3">
        <f t="shared" si="10"/>
        <v>1.3764627087234573E-3</v>
      </c>
      <c r="I170" s="3">
        <f t="shared" si="11"/>
        <v>-2.9430421535880227E-2</v>
      </c>
      <c r="K170">
        <v>142</v>
      </c>
      <c r="L170" s="3">
        <v>0.05</v>
      </c>
      <c r="M170" s="3">
        <v>-0.11071779892325838</v>
      </c>
    </row>
    <row r="171" spans="1:13" x14ac:dyDescent="0.25">
      <c r="A171" s="1">
        <v>45779</v>
      </c>
      <c r="B171">
        <v>566.76</v>
      </c>
      <c r="C171">
        <v>72.7</v>
      </c>
      <c r="D171">
        <v>297.98</v>
      </c>
      <c r="E171">
        <v>65.03</v>
      </c>
      <c r="G171" s="3">
        <f t="shared" si="9"/>
        <v>-1.4735031938352483E-2</v>
      </c>
      <c r="H171" s="3">
        <f t="shared" si="10"/>
        <v>4.9396368276627932E-3</v>
      </c>
      <c r="I171" s="3">
        <f t="shared" si="11"/>
        <v>-1.7466079947414063E-3</v>
      </c>
      <c r="K171">
        <v>143</v>
      </c>
      <c r="L171" s="3">
        <v>0.05</v>
      </c>
      <c r="M171" s="3">
        <v>-0.11071779892325838</v>
      </c>
    </row>
    <row r="172" spans="1:13" x14ac:dyDescent="0.25">
      <c r="A172" s="1">
        <v>45778</v>
      </c>
      <c r="B172">
        <v>558.47</v>
      </c>
      <c r="C172">
        <v>73.06</v>
      </c>
      <c r="D172">
        <v>297.45999999999998</v>
      </c>
      <c r="E172">
        <v>63.7</v>
      </c>
      <c r="G172" s="3">
        <f t="shared" si="9"/>
        <v>-7.0619605085897258E-3</v>
      </c>
      <c r="H172" s="3">
        <f t="shared" si="10"/>
        <v>6.0043848516545982E-3</v>
      </c>
      <c r="I172" s="3">
        <f t="shared" si="11"/>
        <v>2.0991073944109328E-2</v>
      </c>
      <c r="K172">
        <v>144</v>
      </c>
      <c r="L172" s="3">
        <v>0.05</v>
      </c>
      <c r="M172" s="3">
        <v>-0.11071779892325838</v>
      </c>
    </row>
    <row r="173" spans="1:13" x14ac:dyDescent="0.25">
      <c r="A173" s="1">
        <v>45777</v>
      </c>
      <c r="B173">
        <v>554.54</v>
      </c>
      <c r="C173">
        <v>73.5</v>
      </c>
      <c r="D173">
        <v>303.77</v>
      </c>
      <c r="E173">
        <v>63.86</v>
      </c>
      <c r="G173" s="3">
        <f t="shared" si="9"/>
        <v>-3.9680392995792576E-4</v>
      </c>
      <c r="H173" s="3">
        <f t="shared" si="10"/>
        <v>6.8004082865546665E-4</v>
      </c>
      <c r="I173" s="3">
        <f t="shared" si="11"/>
        <v>7.5103250543290152E-3</v>
      </c>
      <c r="K173">
        <v>145</v>
      </c>
      <c r="L173" s="3">
        <v>0.05</v>
      </c>
      <c r="M173" s="3">
        <v>-0.11071779892325838</v>
      </c>
    </row>
    <row r="174" spans="1:13" x14ac:dyDescent="0.25">
      <c r="A174" s="1">
        <v>45776</v>
      </c>
      <c r="B174">
        <v>554.32000000000005</v>
      </c>
      <c r="C174">
        <v>73.55</v>
      </c>
      <c r="D174">
        <v>306.06</v>
      </c>
      <c r="E174">
        <v>63.93</v>
      </c>
      <c r="G174" s="3">
        <f t="shared" si="9"/>
        <v>-6.2795975330519763E-3</v>
      </c>
      <c r="H174" s="3">
        <f t="shared" si="10"/>
        <v>-2.5866190992371134E-3</v>
      </c>
      <c r="I174" s="3">
        <f t="shared" si="11"/>
        <v>9.7866272960029383E-3</v>
      </c>
      <c r="K174">
        <v>146</v>
      </c>
      <c r="L174" s="3">
        <v>0.05</v>
      </c>
      <c r="M174" s="3">
        <v>-0.11071779892325838</v>
      </c>
    </row>
    <row r="175" spans="1:13" x14ac:dyDescent="0.25">
      <c r="A175" s="1">
        <v>45775</v>
      </c>
      <c r="B175">
        <v>550.85</v>
      </c>
      <c r="C175">
        <v>73.36</v>
      </c>
      <c r="D175">
        <v>309.07</v>
      </c>
      <c r="E175">
        <v>63.73</v>
      </c>
      <c r="G175" s="3">
        <f t="shared" si="9"/>
        <v>-3.813016959652961E-4</v>
      </c>
      <c r="H175" s="3">
        <f t="shared" si="10"/>
        <v>-2.4566683571485147E-3</v>
      </c>
      <c r="I175" s="3">
        <f t="shared" si="11"/>
        <v>-1.4141649814671742E-2</v>
      </c>
      <c r="K175">
        <v>147</v>
      </c>
      <c r="L175" s="3">
        <v>0.05</v>
      </c>
      <c r="M175" s="3">
        <v>-0.11071779892325838</v>
      </c>
    </row>
    <row r="176" spans="1:13" x14ac:dyDescent="0.25">
      <c r="A176" s="1">
        <v>45772</v>
      </c>
      <c r="B176">
        <v>550.64</v>
      </c>
      <c r="C176">
        <v>73.180000000000007</v>
      </c>
      <c r="D176">
        <v>304.73</v>
      </c>
      <c r="E176">
        <v>63.36</v>
      </c>
      <c r="G176" s="3">
        <f t="shared" si="9"/>
        <v>-7.1993239240352013E-3</v>
      </c>
      <c r="H176" s="3">
        <f t="shared" si="10"/>
        <v>-3.284974210526708E-3</v>
      </c>
      <c r="I176" s="3">
        <f t="shared" si="11"/>
        <v>1.0900891234091869E-2</v>
      </c>
      <c r="K176">
        <v>148</v>
      </c>
      <c r="L176" s="3">
        <v>0.05</v>
      </c>
      <c r="M176" s="3">
        <v>-0.11071779892325838</v>
      </c>
    </row>
    <row r="177" spans="1:13" x14ac:dyDescent="0.25">
      <c r="A177" s="1">
        <v>45771</v>
      </c>
      <c r="B177">
        <v>546.69000000000005</v>
      </c>
      <c r="C177">
        <v>72.94</v>
      </c>
      <c r="D177">
        <v>308.07</v>
      </c>
      <c r="E177">
        <v>63.31</v>
      </c>
      <c r="G177" s="3">
        <f t="shared" si="9"/>
        <v>-2.0830428529099023E-2</v>
      </c>
      <c r="H177" s="3">
        <f t="shared" si="10"/>
        <v>-5.636916005213051E-3</v>
      </c>
      <c r="I177" s="3">
        <f t="shared" si="11"/>
        <v>-1.4451307534729009E-2</v>
      </c>
      <c r="K177">
        <v>149</v>
      </c>
      <c r="L177" s="3">
        <v>0.05</v>
      </c>
      <c r="M177" s="3">
        <v>-0.11071779892325838</v>
      </c>
    </row>
    <row r="178" spans="1:13" x14ac:dyDescent="0.25">
      <c r="A178" s="1">
        <v>45770</v>
      </c>
      <c r="B178">
        <v>535.41999999999996</v>
      </c>
      <c r="C178">
        <v>72.53</v>
      </c>
      <c r="D178">
        <v>303.64999999999998</v>
      </c>
      <c r="E178">
        <v>62.51</v>
      </c>
      <c r="G178" s="3">
        <f t="shared" si="9"/>
        <v>-1.5376666278090537E-2</v>
      </c>
      <c r="H178" s="3">
        <f t="shared" si="10"/>
        <v>-2.0702512397246988E-3</v>
      </c>
      <c r="I178" s="3">
        <f t="shared" si="11"/>
        <v>2.4270825048542749E-2</v>
      </c>
      <c r="K178">
        <v>150</v>
      </c>
      <c r="L178" s="3">
        <v>0.05</v>
      </c>
      <c r="M178" s="3">
        <v>-0.11071779892325838</v>
      </c>
    </row>
    <row r="179" spans="1:13" x14ac:dyDescent="0.25">
      <c r="A179" s="1">
        <v>45769</v>
      </c>
      <c r="B179">
        <v>527.25</v>
      </c>
      <c r="C179">
        <v>72.38</v>
      </c>
      <c r="D179">
        <v>311.11</v>
      </c>
      <c r="E179">
        <v>62.23</v>
      </c>
      <c r="G179" s="3">
        <f t="shared" si="9"/>
        <v>-2.5685044195475046E-2</v>
      </c>
      <c r="H179" s="3">
        <f t="shared" si="10"/>
        <v>-1.7976911430548045E-3</v>
      </c>
      <c r="I179" s="3">
        <f t="shared" si="11"/>
        <v>1.429735539951695E-2</v>
      </c>
      <c r="K179">
        <v>151</v>
      </c>
      <c r="L179" s="3">
        <v>0.05</v>
      </c>
      <c r="M179" s="3">
        <v>-0.11071779892325838</v>
      </c>
    </row>
    <row r="180" spans="1:13" x14ac:dyDescent="0.25">
      <c r="A180" s="1">
        <v>45768</v>
      </c>
      <c r="B180">
        <v>513.88</v>
      </c>
      <c r="C180">
        <v>72.25</v>
      </c>
      <c r="D180">
        <v>315.58999999999997</v>
      </c>
      <c r="E180">
        <v>61.1</v>
      </c>
      <c r="G180" s="3">
        <f t="shared" si="9"/>
        <v>2.4090601627744852E-2</v>
      </c>
      <c r="H180" s="3">
        <f t="shared" si="10"/>
        <v>5.5210630237504527E-3</v>
      </c>
      <c r="I180" s="3">
        <f t="shared" si="11"/>
        <v>-3.0466720849923506E-2</v>
      </c>
      <c r="K180">
        <v>152</v>
      </c>
      <c r="L180" s="3">
        <v>0.05</v>
      </c>
      <c r="M180" s="3">
        <v>-0.11071779892325838</v>
      </c>
    </row>
    <row r="181" spans="1:13" x14ac:dyDescent="0.25">
      <c r="A181" s="1">
        <v>45764</v>
      </c>
      <c r="B181">
        <v>526.41</v>
      </c>
      <c r="C181">
        <v>72.650000000000006</v>
      </c>
      <c r="D181">
        <v>306.12</v>
      </c>
      <c r="E181">
        <v>61.32</v>
      </c>
      <c r="G181" s="3">
        <f t="shared" si="9"/>
        <v>-1.4257608848263527E-3</v>
      </c>
      <c r="H181" s="3">
        <f t="shared" si="10"/>
        <v>2.1999183903278429E-3</v>
      </c>
      <c r="I181" s="3">
        <f t="shared" si="11"/>
        <v>4.4003395698609645E-3</v>
      </c>
      <c r="K181">
        <v>153</v>
      </c>
      <c r="L181" s="3">
        <v>0.05</v>
      </c>
      <c r="M181" s="3">
        <v>-0.11071779892325838</v>
      </c>
    </row>
    <row r="182" spans="1:13" x14ac:dyDescent="0.25">
      <c r="A182" s="1">
        <v>45763</v>
      </c>
      <c r="B182">
        <v>525.66</v>
      </c>
      <c r="C182">
        <v>72.81</v>
      </c>
      <c r="D182">
        <v>307.47000000000003</v>
      </c>
      <c r="E182">
        <v>60.7</v>
      </c>
      <c r="G182" s="3">
        <f t="shared" si="9"/>
        <v>2.2478774320088612E-2</v>
      </c>
      <c r="H182" s="3">
        <f t="shared" si="10"/>
        <v>-2.7506550144644174E-3</v>
      </c>
      <c r="I182" s="3">
        <f t="shared" si="11"/>
        <v>-3.2022562684176956E-2</v>
      </c>
      <c r="K182">
        <v>154</v>
      </c>
      <c r="L182" s="3">
        <v>0.05</v>
      </c>
      <c r="M182" s="3">
        <v>-0.11071779892325838</v>
      </c>
    </row>
    <row r="183" spans="1:13" x14ac:dyDescent="0.25">
      <c r="A183" s="1">
        <v>45762</v>
      </c>
      <c r="B183">
        <v>537.61</v>
      </c>
      <c r="C183">
        <v>72.61</v>
      </c>
      <c r="D183">
        <v>297.77999999999997</v>
      </c>
      <c r="E183">
        <v>61.02</v>
      </c>
      <c r="G183" s="3">
        <f t="shared" si="9"/>
        <v>2.8047904115455218E-3</v>
      </c>
      <c r="H183" s="3">
        <f t="shared" si="10"/>
        <v>-2.4820751849205457E-3</v>
      </c>
      <c r="I183" s="3">
        <f t="shared" si="11"/>
        <v>-5.2187792055261532E-3</v>
      </c>
      <c r="K183">
        <v>155</v>
      </c>
      <c r="L183" s="3">
        <v>0.05</v>
      </c>
      <c r="M183" s="3">
        <v>-0.11071779892325838</v>
      </c>
    </row>
    <row r="184" spans="1:13" x14ac:dyDescent="0.25">
      <c r="A184" s="1">
        <v>45761</v>
      </c>
      <c r="B184">
        <v>539.12</v>
      </c>
      <c r="C184">
        <v>72.430000000000007</v>
      </c>
      <c r="D184">
        <v>296.23</v>
      </c>
      <c r="E184">
        <v>60.69</v>
      </c>
      <c r="G184" s="3">
        <f t="shared" si="9"/>
        <v>-9.654707541135614E-3</v>
      </c>
      <c r="H184" s="3">
        <f t="shared" si="10"/>
        <v>-5.6767199865056135E-3</v>
      </c>
      <c r="I184" s="3">
        <f t="shared" si="11"/>
        <v>5.7223799614986625E-3</v>
      </c>
      <c r="K184">
        <v>156</v>
      </c>
      <c r="L184" s="3">
        <v>0.05</v>
      </c>
      <c r="M184" s="3">
        <v>-0.11071779892325838</v>
      </c>
    </row>
    <row r="185" spans="1:13" x14ac:dyDescent="0.25">
      <c r="A185" s="1">
        <v>45758</v>
      </c>
      <c r="B185">
        <v>533.94000000000005</v>
      </c>
      <c r="C185">
        <v>72.02</v>
      </c>
      <c r="D185">
        <v>297.93</v>
      </c>
      <c r="E185">
        <v>60.03</v>
      </c>
      <c r="G185" s="3">
        <f t="shared" si="9"/>
        <v>-1.7685530675971249E-2</v>
      </c>
      <c r="H185" s="3">
        <f t="shared" si="10"/>
        <v>1.1101860701741963E-3</v>
      </c>
      <c r="I185" s="3">
        <f t="shared" si="11"/>
        <v>-1.8906844961697287E-2</v>
      </c>
      <c r="K185">
        <v>157</v>
      </c>
      <c r="L185" s="3">
        <v>0.05</v>
      </c>
      <c r="M185" s="3">
        <v>-0.11071779892325838</v>
      </c>
    </row>
    <row r="186" spans="1:13" x14ac:dyDescent="0.25">
      <c r="A186" s="1">
        <v>45757</v>
      </c>
      <c r="B186">
        <v>524.58000000000004</v>
      </c>
      <c r="C186">
        <v>72.099999999999994</v>
      </c>
      <c r="D186">
        <v>292.35000000000002</v>
      </c>
      <c r="E186">
        <v>58.43</v>
      </c>
      <c r="G186" s="3">
        <f t="shared" si="9"/>
        <v>4.4808091852689302E-2</v>
      </c>
      <c r="H186" s="3">
        <f t="shared" si="10"/>
        <v>8.0121992370672159E-3</v>
      </c>
      <c r="I186" s="3">
        <f t="shared" si="11"/>
        <v>-2.413008911925044E-2</v>
      </c>
      <c r="K186">
        <v>158</v>
      </c>
      <c r="L186" s="3">
        <v>0.05</v>
      </c>
      <c r="M186" s="3">
        <v>-0.11071779892325838</v>
      </c>
    </row>
    <row r="187" spans="1:13" x14ac:dyDescent="0.25">
      <c r="A187" s="1">
        <v>45756</v>
      </c>
      <c r="B187">
        <v>548.62</v>
      </c>
      <c r="C187">
        <v>72.680000000000007</v>
      </c>
      <c r="D187">
        <v>285.38</v>
      </c>
      <c r="E187">
        <v>59.5</v>
      </c>
      <c r="G187" s="3">
        <f t="shared" si="9"/>
        <v>-9.9862833573473822E-2</v>
      </c>
      <c r="H187" s="3">
        <f t="shared" si="10"/>
        <v>-2.3417601444690743E-3</v>
      </c>
      <c r="I187" s="3">
        <f t="shared" si="11"/>
        <v>-3.6323519443240575E-2</v>
      </c>
      <c r="K187">
        <v>159</v>
      </c>
      <c r="L187" s="3">
        <v>0.05</v>
      </c>
      <c r="M187" s="3">
        <v>-0.11071779892325838</v>
      </c>
    </row>
    <row r="188" spans="1:13" x14ac:dyDescent="0.25">
      <c r="A188" s="1">
        <v>45755</v>
      </c>
      <c r="B188">
        <v>496.48</v>
      </c>
      <c r="C188">
        <v>72.510000000000005</v>
      </c>
      <c r="D188">
        <v>275.2</v>
      </c>
      <c r="E188">
        <v>55.54</v>
      </c>
      <c r="G188" s="3">
        <f t="shared" si="9"/>
        <v>1.5786751533991093E-2</v>
      </c>
      <c r="H188" s="3">
        <f t="shared" si="10"/>
        <v>5.775593612640342E-3</v>
      </c>
      <c r="I188" s="3">
        <f t="shared" si="11"/>
        <v>-5.4289543263196256E-3</v>
      </c>
      <c r="K188">
        <v>160</v>
      </c>
      <c r="L188" s="3">
        <v>0.05</v>
      </c>
      <c r="M188" s="3">
        <v>-0.11071779892325838</v>
      </c>
    </row>
    <row r="189" spans="1:13" x14ac:dyDescent="0.25">
      <c r="A189" s="1">
        <v>45754</v>
      </c>
      <c r="B189">
        <v>504.38</v>
      </c>
      <c r="C189">
        <v>72.930000000000007</v>
      </c>
      <c r="D189">
        <v>273.70999999999998</v>
      </c>
      <c r="E189">
        <v>55.89</v>
      </c>
      <c r="G189" s="3">
        <f t="shared" si="9"/>
        <v>1.7827788332162153E-3</v>
      </c>
      <c r="H189" s="3">
        <f t="shared" si="10"/>
        <v>1.2129620605710646E-2</v>
      </c>
      <c r="I189" s="3">
        <f t="shared" si="11"/>
        <v>2.1719951102797251E-2</v>
      </c>
      <c r="K189">
        <v>161</v>
      </c>
      <c r="L189" s="3">
        <v>0.05</v>
      </c>
      <c r="M189" s="3">
        <v>-0.11071779892325838</v>
      </c>
    </row>
    <row r="190" spans="1:13" x14ac:dyDescent="0.25">
      <c r="A190" s="1">
        <v>45751</v>
      </c>
      <c r="B190">
        <v>505.28</v>
      </c>
      <c r="C190">
        <v>73.819999999999993</v>
      </c>
      <c r="D190">
        <v>279.72000000000003</v>
      </c>
      <c r="E190">
        <v>57.45</v>
      </c>
      <c r="G190" s="3">
        <f t="shared" si="9"/>
        <v>6.0326548115506133E-2</v>
      </c>
      <c r="H190" s="3">
        <f t="shared" si="10"/>
        <v>-8.1311835351391664E-4</v>
      </c>
      <c r="I190" s="3">
        <f t="shared" si="11"/>
        <v>2.3670162214890472E-2</v>
      </c>
      <c r="K190">
        <v>162</v>
      </c>
      <c r="L190" s="3">
        <v>0.05</v>
      </c>
      <c r="M190" s="3">
        <v>-0.11071779892325838</v>
      </c>
    </row>
    <row r="191" spans="1:13" x14ac:dyDescent="0.25">
      <c r="A191" s="1">
        <v>45750</v>
      </c>
      <c r="B191">
        <v>536.70000000000005</v>
      </c>
      <c r="C191">
        <v>73.760000000000005</v>
      </c>
      <c r="D191">
        <v>286.42</v>
      </c>
      <c r="E191">
        <v>61.19</v>
      </c>
      <c r="G191" s="3">
        <f t="shared" si="9"/>
        <v>5.0536533363022919E-2</v>
      </c>
      <c r="H191" s="3">
        <f t="shared" si="10"/>
        <v>-5.165160321202531E-3</v>
      </c>
      <c r="I191" s="3">
        <f t="shared" si="11"/>
        <v>6.0566163770893978E-3</v>
      </c>
      <c r="K191">
        <v>163</v>
      </c>
      <c r="L191" s="3">
        <v>0.05</v>
      </c>
      <c r="M191" s="3">
        <v>-0.11071779892325838</v>
      </c>
    </row>
    <row r="192" spans="1:13" x14ac:dyDescent="0.25">
      <c r="A192" s="1">
        <v>45749</v>
      </c>
      <c r="B192">
        <v>564.52</v>
      </c>
      <c r="C192">
        <v>73.38</v>
      </c>
      <c r="D192">
        <v>288.16000000000003</v>
      </c>
      <c r="E192">
        <v>62.44</v>
      </c>
      <c r="G192" s="3">
        <f t="shared" si="9"/>
        <v>-6.3083843888275164E-3</v>
      </c>
      <c r="H192" s="3">
        <f t="shared" si="10"/>
        <v>8.1732738509901134E-4</v>
      </c>
      <c r="I192" s="3">
        <f t="shared" si="11"/>
        <v>-2.0495725653927885E-3</v>
      </c>
      <c r="K192">
        <v>164</v>
      </c>
      <c r="L192" s="3">
        <v>0.05</v>
      </c>
      <c r="M192" s="3">
        <v>-0.11071779892325838</v>
      </c>
    </row>
    <row r="193" spans="1:13" x14ac:dyDescent="0.25">
      <c r="A193" s="1">
        <v>45748</v>
      </c>
      <c r="B193">
        <v>560.97</v>
      </c>
      <c r="C193">
        <v>73.44</v>
      </c>
      <c r="D193">
        <v>287.57</v>
      </c>
      <c r="E193">
        <v>62.28</v>
      </c>
      <c r="G193" s="3">
        <f t="shared" si="9"/>
        <v>-2.8205238449336592E-3</v>
      </c>
      <c r="H193" s="3">
        <f t="shared" si="10"/>
        <v>1.3615630765143467E-4</v>
      </c>
      <c r="I193" s="3">
        <f t="shared" si="11"/>
        <v>1.9801642710735369E-3</v>
      </c>
      <c r="K193">
        <v>165</v>
      </c>
      <c r="L193" s="3">
        <v>0.05</v>
      </c>
      <c r="M193" s="3">
        <v>-0.11071779892325838</v>
      </c>
    </row>
    <row r="194" spans="1:13" x14ac:dyDescent="0.25">
      <c r="A194" s="1">
        <v>45747</v>
      </c>
      <c r="B194">
        <v>559.39</v>
      </c>
      <c r="C194">
        <v>73.45</v>
      </c>
      <c r="D194">
        <v>288.14</v>
      </c>
      <c r="E194">
        <v>62.1</v>
      </c>
      <c r="G194" s="3">
        <f t="shared" si="9"/>
        <v>-6.6903079018123734E-3</v>
      </c>
      <c r="H194" s="3">
        <f t="shared" si="10"/>
        <v>-1.7714796483822269E-3</v>
      </c>
      <c r="I194" s="3">
        <f t="shared" si="11"/>
        <v>-1.4260989680344824E-2</v>
      </c>
      <c r="K194">
        <v>166</v>
      </c>
      <c r="L194" s="3">
        <v>0.05</v>
      </c>
      <c r="M194" s="3">
        <v>-0.11071779892325838</v>
      </c>
    </row>
    <row r="195" spans="1:13" x14ac:dyDescent="0.25">
      <c r="A195" s="1">
        <v>45744</v>
      </c>
      <c r="B195">
        <v>555.66</v>
      </c>
      <c r="C195">
        <v>73.319999999999993</v>
      </c>
      <c r="D195">
        <v>284.06</v>
      </c>
      <c r="E195">
        <v>62.51</v>
      </c>
      <c r="G195" s="3">
        <f t="shared" si="9"/>
        <v>2.0343790839198364E-2</v>
      </c>
      <c r="H195" s="3">
        <f t="shared" si="10"/>
        <v>-5.7447839568916326E-3</v>
      </c>
      <c r="I195" s="3">
        <f t="shared" si="11"/>
        <v>-7.3848011526621016E-3</v>
      </c>
      <c r="K195">
        <v>167</v>
      </c>
      <c r="L195" s="3">
        <v>0.05</v>
      </c>
      <c r="M195" s="3">
        <v>-0.11071779892325838</v>
      </c>
    </row>
    <row r="196" spans="1:13" x14ac:dyDescent="0.25">
      <c r="A196" s="1">
        <v>45743</v>
      </c>
      <c r="B196">
        <v>567.08000000000004</v>
      </c>
      <c r="C196">
        <v>72.900000000000006</v>
      </c>
      <c r="D196">
        <v>281.97000000000003</v>
      </c>
      <c r="E196">
        <v>63.25</v>
      </c>
      <c r="G196" s="3">
        <f t="shared" ref="G196:G250" si="12">LN(B197/B196)</f>
        <v>2.6592247568877616E-3</v>
      </c>
      <c r="H196" s="3">
        <f t="shared" ref="H196:H250" si="13">LN(C197/C196)</f>
        <v>4.1143798152925079E-4</v>
      </c>
      <c r="I196" s="3">
        <f t="shared" ref="I196:I250" si="14">LN(D197/D196)</f>
        <v>-1.331663169434691E-2</v>
      </c>
      <c r="K196">
        <v>168</v>
      </c>
      <c r="L196" s="3">
        <v>0.05</v>
      </c>
      <c r="M196" s="3">
        <v>-0.11071779892325838</v>
      </c>
    </row>
    <row r="197" spans="1:13" x14ac:dyDescent="0.25">
      <c r="A197" s="1">
        <v>45742</v>
      </c>
      <c r="B197">
        <v>568.59</v>
      </c>
      <c r="C197">
        <v>72.930000000000007</v>
      </c>
      <c r="D197">
        <v>278.24</v>
      </c>
      <c r="E197">
        <v>63.11</v>
      </c>
      <c r="G197" s="3">
        <f t="shared" si="12"/>
        <v>1.2010108961596202E-2</v>
      </c>
      <c r="H197" s="3">
        <f t="shared" si="13"/>
        <v>2.1914814961586085E-3</v>
      </c>
      <c r="I197" s="3">
        <f t="shared" si="14"/>
        <v>8.2628303097103772E-4</v>
      </c>
      <c r="K197">
        <v>169</v>
      </c>
      <c r="L197" s="3">
        <v>0.05</v>
      </c>
      <c r="M197" s="3">
        <v>-0.11071779892325838</v>
      </c>
    </row>
    <row r="198" spans="1:13" x14ac:dyDescent="0.25">
      <c r="A198" s="1">
        <v>45741</v>
      </c>
      <c r="B198">
        <v>575.46</v>
      </c>
      <c r="C198">
        <v>73.09</v>
      </c>
      <c r="D198">
        <v>278.47000000000003</v>
      </c>
      <c r="E198">
        <v>63.77</v>
      </c>
      <c r="G198" s="3">
        <f t="shared" si="12"/>
        <v>-2.4009615375381503E-3</v>
      </c>
      <c r="H198" s="3">
        <f t="shared" si="13"/>
        <v>-1.2321173439092592E-3</v>
      </c>
      <c r="I198" s="3">
        <f t="shared" si="14"/>
        <v>-4.390707406467579E-3</v>
      </c>
      <c r="K198">
        <v>170</v>
      </c>
      <c r="L198" s="3">
        <v>0.05</v>
      </c>
      <c r="M198" s="3">
        <v>-0.11071779892325838</v>
      </c>
    </row>
    <row r="199" spans="1:13" x14ac:dyDescent="0.25">
      <c r="A199" s="1">
        <v>45740</v>
      </c>
      <c r="B199">
        <v>574.08000000000004</v>
      </c>
      <c r="C199">
        <v>73</v>
      </c>
      <c r="D199">
        <v>277.25</v>
      </c>
      <c r="E199">
        <v>63.56</v>
      </c>
      <c r="G199" s="3">
        <f t="shared" si="12"/>
        <v>-1.7749969553981376E-2</v>
      </c>
      <c r="H199" s="3">
        <f t="shared" si="13"/>
        <v>4.3739818231129856E-3</v>
      </c>
      <c r="I199" s="3">
        <f t="shared" si="14"/>
        <v>4.4625258494744987E-3</v>
      </c>
      <c r="K199">
        <v>171</v>
      </c>
      <c r="L199" s="3">
        <v>0.05</v>
      </c>
      <c r="M199" s="3">
        <v>-0.11071779892325838</v>
      </c>
    </row>
    <row r="200" spans="1:13" x14ac:dyDescent="0.25">
      <c r="A200" s="1">
        <v>45737</v>
      </c>
      <c r="B200">
        <v>563.98</v>
      </c>
      <c r="C200">
        <v>73.319999999999993</v>
      </c>
      <c r="D200">
        <v>278.49</v>
      </c>
      <c r="E200">
        <v>63.46</v>
      </c>
      <c r="G200" s="3">
        <f t="shared" si="12"/>
        <v>2.673822057466147E-3</v>
      </c>
      <c r="H200" s="3">
        <f t="shared" si="13"/>
        <v>8.179959556317626E-4</v>
      </c>
      <c r="I200" s="3">
        <f t="shared" si="14"/>
        <v>8.0824415386015931E-3</v>
      </c>
      <c r="K200">
        <v>172</v>
      </c>
      <c r="L200" s="3">
        <v>0.05</v>
      </c>
      <c r="M200" s="3">
        <v>-0.11071779892325838</v>
      </c>
    </row>
    <row r="201" spans="1:13" x14ac:dyDescent="0.25">
      <c r="A201" s="1">
        <v>45736</v>
      </c>
      <c r="B201">
        <v>565.49</v>
      </c>
      <c r="C201">
        <v>73.38</v>
      </c>
      <c r="D201">
        <v>280.75</v>
      </c>
      <c r="E201">
        <v>63.96</v>
      </c>
      <c r="G201" s="3">
        <f t="shared" si="12"/>
        <v>2.8959424099035342E-3</v>
      </c>
      <c r="H201" s="3">
        <f t="shared" si="13"/>
        <v>-4.0891433814525227E-4</v>
      </c>
      <c r="I201" s="3">
        <f t="shared" si="14"/>
        <v>1.2814581898126325E-3</v>
      </c>
      <c r="K201">
        <v>173</v>
      </c>
      <c r="L201" s="3">
        <v>0.05</v>
      </c>
      <c r="M201" s="3">
        <v>-0.11071779892325838</v>
      </c>
    </row>
    <row r="202" spans="1:13" x14ac:dyDescent="0.25">
      <c r="A202" s="1">
        <v>45735</v>
      </c>
      <c r="B202">
        <v>567.13</v>
      </c>
      <c r="C202">
        <v>73.349999999999994</v>
      </c>
      <c r="D202">
        <v>281.11</v>
      </c>
      <c r="E202">
        <v>64.459999999999994</v>
      </c>
      <c r="G202" s="3">
        <f t="shared" si="12"/>
        <v>-1.0831998832651167E-2</v>
      </c>
      <c r="H202" s="3">
        <f t="shared" si="13"/>
        <v>-3.0038253061308571E-3</v>
      </c>
      <c r="I202" s="3">
        <f t="shared" si="14"/>
        <v>-4.0993159870263982E-3</v>
      </c>
      <c r="K202">
        <v>174</v>
      </c>
      <c r="L202" s="3">
        <v>0.05</v>
      </c>
      <c r="M202" s="3">
        <v>-0.11071779892325838</v>
      </c>
    </row>
    <row r="203" spans="1:13" x14ac:dyDescent="0.25">
      <c r="A203" s="1">
        <v>45734</v>
      </c>
      <c r="B203">
        <v>561.02</v>
      </c>
      <c r="C203">
        <v>73.13</v>
      </c>
      <c r="D203">
        <v>279.95999999999998</v>
      </c>
      <c r="E203">
        <v>64.290000000000006</v>
      </c>
      <c r="G203" s="3">
        <f t="shared" si="12"/>
        <v>1.0867263493937785E-2</v>
      </c>
      <c r="H203" s="3">
        <f t="shared" si="13"/>
        <v>-1.0945410861513318E-3</v>
      </c>
      <c r="I203" s="3">
        <f t="shared" si="14"/>
        <v>-1.1604434233346665E-2</v>
      </c>
      <c r="K203">
        <v>175</v>
      </c>
      <c r="L203" s="3">
        <v>0.05</v>
      </c>
      <c r="M203" s="3">
        <v>-0.11071779892325838</v>
      </c>
    </row>
    <row r="204" spans="1:13" x14ac:dyDescent="0.25">
      <c r="A204" s="1">
        <v>45733</v>
      </c>
      <c r="B204">
        <v>567.15</v>
      </c>
      <c r="C204">
        <v>73.05</v>
      </c>
      <c r="D204">
        <v>276.73</v>
      </c>
      <c r="E204">
        <v>64.37</v>
      </c>
      <c r="G204" s="3">
        <f t="shared" si="12"/>
        <v>-7.6817256213216126E-3</v>
      </c>
      <c r="H204" s="3">
        <f t="shared" si="13"/>
        <v>-1.3698632279137081E-3</v>
      </c>
      <c r="I204" s="3">
        <f t="shared" si="14"/>
        <v>-5.3988572537130384E-3</v>
      </c>
      <c r="K204">
        <v>176</v>
      </c>
      <c r="L204" s="3">
        <v>0.05</v>
      </c>
      <c r="M204" s="3">
        <v>-0.11071779892325838</v>
      </c>
    </row>
    <row r="205" spans="1:13" x14ac:dyDescent="0.25">
      <c r="A205" s="1">
        <v>45730</v>
      </c>
      <c r="B205">
        <v>562.80999999999995</v>
      </c>
      <c r="C205">
        <v>72.95</v>
      </c>
      <c r="D205">
        <v>275.24</v>
      </c>
      <c r="E205">
        <v>63.54</v>
      </c>
      <c r="G205" s="3">
        <f t="shared" si="12"/>
        <v>-2.0445324142427328E-2</v>
      </c>
      <c r="H205" s="3">
        <f t="shared" si="13"/>
        <v>2.4644043140650725E-3</v>
      </c>
      <c r="I205" s="3">
        <f t="shared" si="14"/>
        <v>-3.9973109531668359E-4</v>
      </c>
      <c r="K205">
        <v>177</v>
      </c>
      <c r="L205" s="3">
        <v>0.05</v>
      </c>
      <c r="M205" s="3">
        <v>-0.11071779892325838</v>
      </c>
    </row>
    <row r="206" spans="1:13" x14ac:dyDescent="0.25">
      <c r="A206" s="1">
        <v>45729</v>
      </c>
      <c r="B206">
        <v>551.41999999999996</v>
      </c>
      <c r="C206">
        <v>73.13</v>
      </c>
      <c r="D206">
        <v>275.13</v>
      </c>
      <c r="E206">
        <v>62.43</v>
      </c>
      <c r="G206" s="3">
        <f t="shared" si="12"/>
        <v>1.3420118728424441E-2</v>
      </c>
      <c r="H206" s="3">
        <f t="shared" si="13"/>
        <v>-3.0128754645208215E-3</v>
      </c>
      <c r="I206" s="3">
        <f t="shared" si="14"/>
        <v>-1.760027832390694E-2</v>
      </c>
      <c r="K206">
        <v>178</v>
      </c>
      <c r="L206" s="3">
        <v>0.05</v>
      </c>
      <c r="M206" s="3">
        <v>-0.11071779892325838</v>
      </c>
    </row>
    <row r="207" spans="1:13" x14ac:dyDescent="0.25">
      <c r="A207" s="1">
        <v>45728</v>
      </c>
      <c r="B207">
        <v>558.87</v>
      </c>
      <c r="C207">
        <v>72.91</v>
      </c>
      <c r="D207">
        <v>270.33</v>
      </c>
      <c r="E207">
        <v>62.81</v>
      </c>
      <c r="G207" s="3">
        <f t="shared" si="12"/>
        <v>-5.2924889636550452E-3</v>
      </c>
      <c r="H207" s="3">
        <f t="shared" si="13"/>
        <v>2.0552175487976564E-3</v>
      </c>
      <c r="I207" s="3">
        <f t="shared" si="14"/>
        <v>-4.3374365949382194E-3</v>
      </c>
      <c r="K207">
        <v>179</v>
      </c>
      <c r="L207" s="3">
        <v>0.05</v>
      </c>
      <c r="M207" s="3">
        <v>-0.11071779892325838</v>
      </c>
    </row>
    <row r="208" spans="1:13" x14ac:dyDescent="0.25">
      <c r="A208" s="1">
        <v>45727</v>
      </c>
      <c r="B208">
        <v>555.91999999999996</v>
      </c>
      <c r="C208">
        <v>73.06</v>
      </c>
      <c r="D208">
        <v>269.16000000000003</v>
      </c>
      <c r="E208">
        <v>62.38</v>
      </c>
      <c r="G208" s="3">
        <f t="shared" si="12"/>
        <v>8.3475630268475404E-3</v>
      </c>
      <c r="H208" s="3">
        <f t="shared" si="13"/>
        <v>3.8251412760434813E-3</v>
      </c>
      <c r="I208" s="3">
        <f t="shared" si="14"/>
        <v>-1.1659324903896894E-2</v>
      </c>
      <c r="K208">
        <v>180</v>
      </c>
      <c r="L208" s="3">
        <v>0.05</v>
      </c>
      <c r="M208" s="3">
        <v>-0.11071779892325838</v>
      </c>
    </row>
    <row r="209" spans="1:13" x14ac:dyDescent="0.25">
      <c r="A209" s="1">
        <v>45726</v>
      </c>
      <c r="B209">
        <v>560.58000000000004</v>
      </c>
      <c r="C209">
        <v>73.34</v>
      </c>
      <c r="D209">
        <v>266.04000000000002</v>
      </c>
      <c r="E209">
        <v>62.43</v>
      </c>
      <c r="G209" s="3">
        <f t="shared" si="12"/>
        <v>2.6996800128128166E-2</v>
      </c>
      <c r="H209" s="3">
        <f t="shared" si="13"/>
        <v>-4.6467214947888934E-3</v>
      </c>
      <c r="I209" s="3">
        <f t="shared" si="14"/>
        <v>8.794473163073243E-3</v>
      </c>
      <c r="K209">
        <v>181</v>
      </c>
      <c r="L209" s="3">
        <v>0.05</v>
      </c>
      <c r="M209" s="3">
        <v>-0.11071779892325838</v>
      </c>
    </row>
    <row r="210" spans="1:13" x14ac:dyDescent="0.25">
      <c r="A210" s="1">
        <v>45723</v>
      </c>
      <c r="B210">
        <v>575.91999999999996</v>
      </c>
      <c r="C210">
        <v>73</v>
      </c>
      <c r="D210">
        <v>268.39</v>
      </c>
      <c r="E210">
        <v>63.88</v>
      </c>
      <c r="G210" s="3">
        <f t="shared" si="12"/>
        <v>-5.5892817647361639E-3</v>
      </c>
      <c r="H210" s="3">
        <f t="shared" si="13"/>
        <v>1.0952903614147435E-3</v>
      </c>
      <c r="I210" s="3">
        <f t="shared" si="14"/>
        <v>-5.217650684857404E-4</v>
      </c>
      <c r="K210">
        <v>182</v>
      </c>
      <c r="L210" s="3">
        <v>0.05</v>
      </c>
      <c r="M210" s="3">
        <v>-0.11071779892325838</v>
      </c>
    </row>
    <row r="211" spans="1:13" x14ac:dyDescent="0.25">
      <c r="A211" s="1">
        <v>45722</v>
      </c>
      <c r="B211">
        <v>572.71</v>
      </c>
      <c r="C211">
        <v>73.08</v>
      </c>
      <c r="D211">
        <v>268.25</v>
      </c>
      <c r="E211">
        <v>63.34</v>
      </c>
      <c r="G211" s="3">
        <f t="shared" si="12"/>
        <v>1.7910616610670404E-2</v>
      </c>
      <c r="H211" s="3">
        <f t="shared" si="13"/>
        <v>8.2068121142913535E-4</v>
      </c>
      <c r="I211" s="3">
        <f t="shared" si="14"/>
        <v>5.0941787521102616E-3</v>
      </c>
      <c r="K211">
        <v>183</v>
      </c>
      <c r="L211" s="3">
        <v>0.05</v>
      </c>
      <c r="M211" s="3">
        <v>-0.11071779892325838</v>
      </c>
    </row>
    <row r="212" spans="1:13" x14ac:dyDescent="0.25">
      <c r="A212" s="1">
        <v>45721</v>
      </c>
      <c r="B212">
        <v>583.05999999999995</v>
      </c>
      <c r="C212">
        <v>73.14</v>
      </c>
      <c r="D212">
        <v>269.62</v>
      </c>
      <c r="E212">
        <v>63.85</v>
      </c>
      <c r="G212" s="3">
        <f t="shared" si="12"/>
        <v>-1.0690494254774361E-2</v>
      </c>
      <c r="H212" s="3">
        <f t="shared" si="13"/>
        <v>3.5485228992348634E-3</v>
      </c>
      <c r="I212" s="3">
        <f t="shared" si="14"/>
        <v>-2.079157205521133E-3</v>
      </c>
      <c r="K212">
        <v>184</v>
      </c>
      <c r="L212" s="3">
        <v>0.05</v>
      </c>
      <c r="M212" s="3">
        <v>-0.11071779892325838</v>
      </c>
    </row>
    <row r="213" spans="1:13" x14ac:dyDescent="0.25">
      <c r="A213" s="1">
        <v>45720</v>
      </c>
      <c r="B213">
        <v>576.86</v>
      </c>
      <c r="C213">
        <v>73.400000000000006</v>
      </c>
      <c r="D213">
        <v>269.06</v>
      </c>
      <c r="E213">
        <v>62.29</v>
      </c>
      <c r="G213" s="3">
        <f t="shared" si="12"/>
        <v>1.1907466885966923E-2</v>
      </c>
      <c r="H213" s="3">
        <f t="shared" si="13"/>
        <v>2.8569504501446208E-3</v>
      </c>
      <c r="I213" s="3">
        <f t="shared" si="14"/>
        <v>-8.6600018631483346E-3</v>
      </c>
      <c r="K213">
        <v>185</v>
      </c>
      <c r="L213" s="3">
        <v>0.05</v>
      </c>
      <c r="M213" s="3">
        <v>-0.11071779892325838</v>
      </c>
    </row>
    <row r="214" spans="1:13" x14ac:dyDescent="0.25">
      <c r="A214" s="1">
        <v>45719</v>
      </c>
      <c r="B214">
        <v>583.77</v>
      </c>
      <c r="C214">
        <v>73.61</v>
      </c>
      <c r="D214">
        <v>266.74</v>
      </c>
      <c r="E214">
        <v>62.26</v>
      </c>
      <c r="G214" s="3">
        <f t="shared" si="12"/>
        <v>1.7675234123092087E-2</v>
      </c>
      <c r="H214" s="3">
        <f t="shared" si="13"/>
        <v>6.7902494630457525E-4</v>
      </c>
      <c r="I214" s="3">
        <f t="shared" si="14"/>
        <v>-1.3094279656690189E-2</v>
      </c>
      <c r="K214">
        <v>186</v>
      </c>
      <c r="L214" s="3">
        <v>0.05</v>
      </c>
      <c r="M214" s="3">
        <v>-0.11071779892325838</v>
      </c>
    </row>
    <row r="215" spans="1:13" x14ac:dyDescent="0.25">
      <c r="A215" s="1">
        <v>45716</v>
      </c>
      <c r="B215">
        <v>594.17999999999995</v>
      </c>
      <c r="C215">
        <v>73.66</v>
      </c>
      <c r="D215">
        <v>263.27</v>
      </c>
      <c r="E215">
        <v>62.05</v>
      </c>
      <c r="G215" s="3">
        <f t="shared" si="12"/>
        <v>-1.548499009629942E-2</v>
      </c>
      <c r="H215" s="3">
        <f t="shared" si="13"/>
        <v>-4.2174064279285528E-3</v>
      </c>
      <c r="I215" s="3">
        <f t="shared" si="14"/>
        <v>6.2855186112622747E-3</v>
      </c>
      <c r="K215">
        <v>187</v>
      </c>
      <c r="L215" s="3">
        <v>0.05</v>
      </c>
      <c r="M215" s="3">
        <v>-0.11071779892325838</v>
      </c>
    </row>
    <row r="216" spans="1:13" x14ac:dyDescent="0.25">
      <c r="A216" s="1">
        <v>45715</v>
      </c>
      <c r="B216">
        <v>585.04999999999995</v>
      </c>
      <c r="C216">
        <v>73.349999999999994</v>
      </c>
      <c r="D216">
        <v>264.93</v>
      </c>
      <c r="E216">
        <v>62.22</v>
      </c>
      <c r="G216" s="3">
        <f t="shared" si="12"/>
        <v>1.6090683633896135E-2</v>
      </c>
      <c r="H216" s="3">
        <f t="shared" si="13"/>
        <v>1.2262417232442935E-3</v>
      </c>
      <c r="I216" s="3">
        <f t="shared" si="14"/>
        <v>1.535725739823E-2</v>
      </c>
      <c r="K216">
        <v>188</v>
      </c>
      <c r="L216" s="3">
        <v>0.05</v>
      </c>
      <c r="M216" s="3">
        <v>-0.11071779892325838</v>
      </c>
    </row>
    <row r="217" spans="1:13" x14ac:dyDescent="0.25">
      <c r="A217" s="1">
        <v>45714</v>
      </c>
      <c r="B217">
        <v>594.54</v>
      </c>
      <c r="C217">
        <v>73.44</v>
      </c>
      <c r="D217">
        <v>269.02999999999997</v>
      </c>
      <c r="E217">
        <v>63.06</v>
      </c>
      <c r="G217" s="3">
        <f t="shared" si="12"/>
        <v>-5.0471913452191459E-4</v>
      </c>
      <c r="H217" s="3">
        <f t="shared" si="13"/>
        <v>-1.4989442065268381E-3</v>
      </c>
      <c r="I217" s="3">
        <f t="shared" si="14"/>
        <v>-1.5251560661214336E-3</v>
      </c>
      <c r="K217">
        <v>189</v>
      </c>
      <c r="L217" s="3">
        <v>0.05</v>
      </c>
      <c r="M217" s="3">
        <v>-0.11071779892325838</v>
      </c>
    </row>
    <row r="218" spans="1:13" x14ac:dyDescent="0.25">
      <c r="A218" s="1">
        <v>45713</v>
      </c>
      <c r="B218">
        <v>594.24</v>
      </c>
      <c r="C218">
        <v>73.33</v>
      </c>
      <c r="D218">
        <v>268.62</v>
      </c>
      <c r="E218">
        <v>62.87</v>
      </c>
      <c r="G218" s="3">
        <f t="shared" si="12"/>
        <v>4.9855321696107343E-3</v>
      </c>
      <c r="H218" s="3">
        <f t="shared" si="13"/>
        <v>-6.2927704235172816E-3</v>
      </c>
      <c r="I218" s="3">
        <f t="shared" si="14"/>
        <v>1.3276085754496741E-2</v>
      </c>
      <c r="K218">
        <v>190</v>
      </c>
      <c r="L218" s="3">
        <v>0.05</v>
      </c>
      <c r="M218" s="3">
        <v>-0.11071779892325838</v>
      </c>
    </row>
    <row r="219" spans="1:13" x14ac:dyDescent="0.25">
      <c r="A219" s="1">
        <v>45712</v>
      </c>
      <c r="B219">
        <v>597.21</v>
      </c>
      <c r="C219">
        <v>72.87</v>
      </c>
      <c r="D219">
        <v>272.20999999999998</v>
      </c>
      <c r="E219">
        <v>62.52</v>
      </c>
      <c r="G219" s="3">
        <f t="shared" si="12"/>
        <v>4.5608398818611923E-3</v>
      </c>
      <c r="H219" s="3">
        <f t="shared" si="13"/>
        <v>-1.3732493231958793E-3</v>
      </c>
      <c r="I219" s="3">
        <f t="shared" si="14"/>
        <v>-5.4148764777858628E-3</v>
      </c>
      <c r="K219">
        <v>191</v>
      </c>
      <c r="L219" s="3">
        <v>0.05</v>
      </c>
      <c r="M219" s="3">
        <v>-0.11071779892325838</v>
      </c>
    </row>
    <row r="220" spans="1:13" x14ac:dyDescent="0.25">
      <c r="A220" s="1">
        <v>45709</v>
      </c>
      <c r="B220">
        <v>599.94000000000005</v>
      </c>
      <c r="C220">
        <v>72.77</v>
      </c>
      <c r="D220">
        <v>270.74</v>
      </c>
      <c r="E220">
        <v>62.83</v>
      </c>
      <c r="G220" s="3">
        <f t="shared" si="12"/>
        <v>1.7252063817898934E-2</v>
      </c>
      <c r="H220" s="3">
        <f t="shared" si="13"/>
        <v>-4.4071135923035836E-3</v>
      </c>
      <c r="I220" s="3">
        <f t="shared" si="14"/>
        <v>9.2296907222171E-4</v>
      </c>
      <c r="K220">
        <v>192</v>
      </c>
      <c r="L220" s="3">
        <v>0.05</v>
      </c>
      <c r="M220" s="3">
        <v>-0.11071779892325838</v>
      </c>
    </row>
    <row r="221" spans="1:13" x14ac:dyDescent="0.25">
      <c r="A221" s="1">
        <v>45708</v>
      </c>
      <c r="B221">
        <v>610.38</v>
      </c>
      <c r="C221">
        <v>72.45</v>
      </c>
      <c r="D221">
        <v>270.99</v>
      </c>
      <c r="E221">
        <v>63.24</v>
      </c>
      <c r="G221" s="3">
        <f t="shared" si="12"/>
        <v>4.1690228861182383E-3</v>
      </c>
      <c r="H221" s="3">
        <f t="shared" si="13"/>
        <v>-1.2430082395970253E-3</v>
      </c>
      <c r="I221" s="3">
        <f t="shared" si="14"/>
        <v>-5.1675772595395327E-4</v>
      </c>
      <c r="K221">
        <v>193</v>
      </c>
      <c r="L221" s="3">
        <v>0.05</v>
      </c>
      <c r="M221" s="3">
        <v>-0.11071779892325838</v>
      </c>
    </row>
    <row r="222" spans="1:13" x14ac:dyDescent="0.25">
      <c r="A222" s="1">
        <v>45707</v>
      </c>
      <c r="B222">
        <v>612.92999999999995</v>
      </c>
      <c r="C222">
        <v>72.36</v>
      </c>
      <c r="D222">
        <v>270.85000000000002</v>
      </c>
      <c r="E222">
        <v>62.86</v>
      </c>
      <c r="G222" s="3">
        <f t="shared" si="12"/>
        <v>-2.3521351560815262E-3</v>
      </c>
      <c r="H222" s="3">
        <f t="shared" si="13"/>
        <v>-1.3829348076001573E-3</v>
      </c>
      <c r="I222" s="3">
        <f t="shared" si="14"/>
        <v>-5.5396548365252538E-4</v>
      </c>
      <c r="K222">
        <v>194</v>
      </c>
      <c r="L222" s="3">
        <v>0.05</v>
      </c>
      <c r="M222" s="3">
        <v>-0.11071779892325838</v>
      </c>
    </row>
    <row r="223" spans="1:13" x14ac:dyDescent="0.25">
      <c r="A223" s="1">
        <v>45706</v>
      </c>
      <c r="B223">
        <v>611.49</v>
      </c>
      <c r="C223">
        <v>72.260000000000005</v>
      </c>
      <c r="D223">
        <v>270.7</v>
      </c>
      <c r="E223">
        <v>63.28</v>
      </c>
      <c r="G223" s="3">
        <f t="shared" si="12"/>
        <v>-2.9315688499782213E-3</v>
      </c>
      <c r="H223" s="3">
        <f t="shared" si="13"/>
        <v>3.7295436558267459E-3</v>
      </c>
      <c r="I223" s="3">
        <f t="shared" si="14"/>
        <v>-1.6425256138945101E-2</v>
      </c>
      <c r="K223">
        <v>195</v>
      </c>
      <c r="L223" s="3">
        <v>0.05</v>
      </c>
      <c r="M223" s="3">
        <v>-0.11071779892325838</v>
      </c>
    </row>
    <row r="224" spans="1:13" x14ac:dyDescent="0.25">
      <c r="A224" s="1">
        <v>45702</v>
      </c>
      <c r="B224">
        <v>609.70000000000005</v>
      </c>
      <c r="C224">
        <v>72.53</v>
      </c>
      <c r="D224">
        <v>266.29000000000002</v>
      </c>
      <c r="E224">
        <v>62.91</v>
      </c>
      <c r="G224" s="3">
        <f t="shared" si="12"/>
        <v>4.9203316313316072E-5</v>
      </c>
      <c r="H224" s="3">
        <f t="shared" si="13"/>
        <v>-3.1761402106020241E-3</v>
      </c>
      <c r="I224" s="3">
        <f t="shared" si="14"/>
        <v>1.4983508047206752E-2</v>
      </c>
      <c r="K224">
        <v>196</v>
      </c>
      <c r="L224" s="3">
        <v>0.05</v>
      </c>
      <c r="M224" s="3">
        <v>-0.11071779892325838</v>
      </c>
    </row>
    <row r="225" spans="1:13" x14ac:dyDescent="0.25">
      <c r="A225" s="1">
        <v>45701</v>
      </c>
      <c r="B225">
        <v>609.73</v>
      </c>
      <c r="C225">
        <v>72.3</v>
      </c>
      <c r="D225">
        <v>270.31</v>
      </c>
      <c r="E225">
        <v>62.79</v>
      </c>
      <c r="G225" s="3">
        <f t="shared" si="12"/>
        <v>-1.05022027200369E-2</v>
      </c>
      <c r="H225" s="3">
        <f t="shared" si="13"/>
        <v>-5.9651976843676201E-3</v>
      </c>
      <c r="I225" s="3">
        <f t="shared" si="14"/>
        <v>-9.8145700272821452E-3</v>
      </c>
      <c r="K225">
        <v>197</v>
      </c>
      <c r="L225" s="3">
        <v>0.05</v>
      </c>
      <c r="M225" s="3">
        <v>-0.11071779892325838</v>
      </c>
    </row>
    <row r="226" spans="1:13" x14ac:dyDescent="0.25">
      <c r="A226" s="1">
        <v>45700</v>
      </c>
      <c r="B226">
        <v>603.36</v>
      </c>
      <c r="C226">
        <v>71.87</v>
      </c>
      <c r="D226">
        <v>267.67</v>
      </c>
      <c r="E226">
        <v>62.12</v>
      </c>
      <c r="G226" s="3">
        <f t="shared" si="12"/>
        <v>3.226689984649147E-3</v>
      </c>
      <c r="H226" s="3">
        <f t="shared" si="13"/>
        <v>5.1349776283785347E-3</v>
      </c>
      <c r="I226" s="3">
        <f t="shared" si="14"/>
        <v>-1.0466116904992242E-3</v>
      </c>
      <c r="K226">
        <v>198</v>
      </c>
      <c r="L226" s="3">
        <v>0.05</v>
      </c>
      <c r="M226" s="3">
        <v>-0.11071779892325838</v>
      </c>
    </row>
    <row r="227" spans="1:13" x14ac:dyDescent="0.25">
      <c r="A227" s="1">
        <v>45699</v>
      </c>
      <c r="B227">
        <v>605.30999999999995</v>
      </c>
      <c r="C227">
        <v>72.239999999999995</v>
      </c>
      <c r="D227">
        <v>267.39</v>
      </c>
      <c r="E227">
        <v>61.95</v>
      </c>
      <c r="G227" s="3">
        <f t="shared" si="12"/>
        <v>-7.6023008883892968E-4</v>
      </c>
      <c r="H227" s="3">
        <f t="shared" si="13"/>
        <v>1.6597514183644708E-3</v>
      </c>
      <c r="I227" s="3">
        <f t="shared" si="14"/>
        <v>3.6583585672417605E-3</v>
      </c>
      <c r="K227">
        <v>199</v>
      </c>
      <c r="L227" s="3">
        <v>0.05</v>
      </c>
      <c r="M227" s="3">
        <v>-0.11071779892325838</v>
      </c>
    </row>
    <row r="228" spans="1:13" x14ac:dyDescent="0.25">
      <c r="A228" s="1">
        <v>45698</v>
      </c>
      <c r="B228">
        <v>604.85</v>
      </c>
      <c r="C228">
        <v>72.36</v>
      </c>
      <c r="D228">
        <v>268.37</v>
      </c>
      <c r="E228">
        <v>61.84</v>
      </c>
      <c r="G228" s="3">
        <f t="shared" si="12"/>
        <v>-6.768327624750963E-3</v>
      </c>
      <c r="H228" s="3">
        <f t="shared" si="13"/>
        <v>-2.7643400314243937E-4</v>
      </c>
      <c r="I228" s="3">
        <f t="shared" si="14"/>
        <v>-1.6796381868699129E-2</v>
      </c>
      <c r="K228">
        <v>200</v>
      </c>
      <c r="L228" s="3">
        <v>0.05</v>
      </c>
      <c r="M228" s="3">
        <v>-0.11071779892325838</v>
      </c>
    </row>
    <row r="229" spans="1:13" x14ac:dyDescent="0.25">
      <c r="A229" s="1">
        <v>45695</v>
      </c>
      <c r="B229">
        <v>600.77</v>
      </c>
      <c r="C229">
        <v>72.34</v>
      </c>
      <c r="D229">
        <v>263.89999999999998</v>
      </c>
      <c r="E229">
        <v>61.35</v>
      </c>
      <c r="G229" s="3">
        <f t="shared" si="12"/>
        <v>9.1957337226675154E-3</v>
      </c>
      <c r="H229" s="3">
        <f t="shared" si="13"/>
        <v>3.0365792829293099E-3</v>
      </c>
      <c r="I229" s="3">
        <f t="shared" si="14"/>
        <v>-1.7825654692644336E-3</v>
      </c>
      <c r="K229">
        <v>201</v>
      </c>
      <c r="L229" s="3">
        <v>0.05</v>
      </c>
      <c r="M229" s="3">
        <v>-0.11071779892325838</v>
      </c>
    </row>
    <row r="230" spans="1:13" x14ac:dyDescent="0.25">
      <c r="A230" s="1">
        <v>45694</v>
      </c>
      <c r="B230">
        <v>606.32000000000005</v>
      </c>
      <c r="C230">
        <v>72.56</v>
      </c>
      <c r="D230">
        <v>263.43</v>
      </c>
      <c r="E230">
        <v>61.75</v>
      </c>
      <c r="G230" s="3">
        <f t="shared" si="12"/>
        <v>-3.4695294770692399E-3</v>
      </c>
      <c r="H230" s="3">
        <f t="shared" si="13"/>
        <v>1.1019284861567347E-3</v>
      </c>
      <c r="I230" s="3">
        <f t="shared" si="14"/>
        <v>2.6537281476958449E-3</v>
      </c>
      <c r="K230">
        <v>202</v>
      </c>
      <c r="L230" s="3">
        <v>0.05</v>
      </c>
      <c r="M230" s="3">
        <v>-0.11071779892325838</v>
      </c>
    </row>
    <row r="231" spans="1:13" x14ac:dyDescent="0.25">
      <c r="A231" s="1">
        <v>45693</v>
      </c>
      <c r="B231">
        <v>604.22</v>
      </c>
      <c r="C231">
        <v>72.64</v>
      </c>
      <c r="D231">
        <v>264.13</v>
      </c>
      <c r="E231">
        <v>61.48</v>
      </c>
      <c r="G231" s="3">
        <f t="shared" si="12"/>
        <v>-4.0464400154451834E-3</v>
      </c>
      <c r="H231" s="3">
        <f t="shared" si="13"/>
        <v>-5.106628998148283E-3</v>
      </c>
      <c r="I231" s="3">
        <f t="shared" si="14"/>
        <v>-6.1903241560312241E-3</v>
      </c>
      <c r="K231">
        <v>203</v>
      </c>
      <c r="L231" s="3">
        <v>0.05</v>
      </c>
      <c r="M231" s="3">
        <v>-0.11071779892325838</v>
      </c>
    </row>
    <row r="232" spans="1:13" x14ac:dyDescent="0.25">
      <c r="A232" s="1">
        <v>45692</v>
      </c>
      <c r="B232">
        <v>601.78</v>
      </c>
      <c r="C232">
        <v>72.27</v>
      </c>
      <c r="D232">
        <v>262.5</v>
      </c>
      <c r="E232">
        <v>61.08</v>
      </c>
      <c r="G232" s="3">
        <f t="shared" si="12"/>
        <v>-6.685865428710777E-3</v>
      </c>
      <c r="H232" s="3">
        <f t="shared" si="13"/>
        <v>-1.3846582107077446E-3</v>
      </c>
      <c r="I232" s="3">
        <f t="shared" si="14"/>
        <v>-9.8002468782360814E-3</v>
      </c>
      <c r="K232">
        <v>204</v>
      </c>
      <c r="L232" s="3">
        <v>0.05</v>
      </c>
      <c r="M232" s="3">
        <v>-0.11071779892325838</v>
      </c>
    </row>
    <row r="233" spans="1:13" x14ac:dyDescent="0.25">
      <c r="A233" s="1">
        <v>45691</v>
      </c>
      <c r="B233">
        <v>597.77</v>
      </c>
      <c r="C233">
        <v>72.17</v>
      </c>
      <c r="D233">
        <v>259.94</v>
      </c>
      <c r="E233">
        <v>60.31</v>
      </c>
      <c r="G233" s="3">
        <f t="shared" si="12"/>
        <v>6.7523326936075566E-3</v>
      </c>
      <c r="H233" s="3">
        <f t="shared" si="13"/>
        <v>2.3527794397700105E-3</v>
      </c>
      <c r="I233" s="3">
        <f t="shared" si="14"/>
        <v>-5.3230598207118117E-3</v>
      </c>
      <c r="K233">
        <v>205</v>
      </c>
      <c r="L233" s="3">
        <v>0.05</v>
      </c>
      <c r="M233" s="3">
        <v>-0.11071779892325838</v>
      </c>
    </row>
    <row r="234" spans="1:13" x14ac:dyDescent="0.25">
      <c r="A234" s="1">
        <v>45688</v>
      </c>
      <c r="B234">
        <v>601.82000000000005</v>
      </c>
      <c r="C234">
        <v>72.34</v>
      </c>
      <c r="D234">
        <v>258.56</v>
      </c>
      <c r="E234">
        <v>60.92</v>
      </c>
      <c r="G234" s="3">
        <f t="shared" si="12"/>
        <v>5.3361742716180223E-3</v>
      </c>
      <c r="H234" s="3">
        <f t="shared" si="13"/>
        <v>1.3814064912607202E-3</v>
      </c>
      <c r="I234" s="3">
        <f t="shared" si="14"/>
        <v>-1.9744107379943243E-3</v>
      </c>
      <c r="K234">
        <v>206</v>
      </c>
      <c r="L234" s="3">
        <v>0.05</v>
      </c>
      <c r="M234" s="3">
        <v>-0.11071779892325838</v>
      </c>
    </row>
    <row r="235" spans="1:13" x14ac:dyDescent="0.25">
      <c r="A235" s="1">
        <v>45687</v>
      </c>
      <c r="B235">
        <v>605.04</v>
      </c>
      <c r="C235">
        <v>72.44</v>
      </c>
      <c r="D235">
        <v>258.05</v>
      </c>
      <c r="E235">
        <v>61.53</v>
      </c>
      <c r="G235" s="3">
        <f t="shared" si="12"/>
        <v>-5.3527906736690334E-3</v>
      </c>
      <c r="H235" s="3">
        <f t="shared" si="13"/>
        <v>-1.3814064912606192E-3</v>
      </c>
      <c r="I235" s="3">
        <f t="shared" si="14"/>
        <v>-1.5032005839382538E-2</v>
      </c>
      <c r="K235">
        <v>207</v>
      </c>
      <c r="L235" s="3">
        <v>0.05</v>
      </c>
      <c r="M235" s="3">
        <v>-0.11071779892325838</v>
      </c>
    </row>
    <row r="236" spans="1:13" x14ac:dyDescent="0.25">
      <c r="A236" s="1">
        <v>45686</v>
      </c>
      <c r="B236">
        <v>601.80999999999995</v>
      </c>
      <c r="C236">
        <v>72.34</v>
      </c>
      <c r="D236">
        <v>254.2</v>
      </c>
      <c r="E236">
        <v>60.8</v>
      </c>
      <c r="G236" s="3">
        <f t="shared" si="12"/>
        <v>4.4929738278148184E-3</v>
      </c>
      <c r="H236" s="3">
        <f t="shared" si="13"/>
        <v>5.5279161164443482E-4</v>
      </c>
      <c r="I236" s="3">
        <f t="shared" si="14"/>
        <v>3.8478197382435394E-3</v>
      </c>
      <c r="K236">
        <v>208</v>
      </c>
      <c r="L236" s="3">
        <v>0.05</v>
      </c>
      <c r="M236" s="3">
        <v>-0.11071779892325838</v>
      </c>
    </row>
    <row r="237" spans="1:13" x14ac:dyDescent="0.25">
      <c r="A237" s="1">
        <v>45685</v>
      </c>
      <c r="B237">
        <v>604.52</v>
      </c>
      <c r="C237">
        <v>72.38</v>
      </c>
      <c r="D237">
        <v>255.18</v>
      </c>
      <c r="E237">
        <v>60.79</v>
      </c>
      <c r="G237" s="3">
        <f t="shared" si="12"/>
        <v>-8.5556511219525826E-3</v>
      </c>
      <c r="H237" s="3">
        <f t="shared" si="13"/>
        <v>5.5248620189883276E-4</v>
      </c>
      <c r="I237" s="3">
        <f t="shared" si="14"/>
        <v>-8.6192162389373168E-3</v>
      </c>
      <c r="K237">
        <v>209</v>
      </c>
      <c r="L237" s="3">
        <v>0.05</v>
      </c>
      <c r="M237" s="3">
        <v>-0.11071779892325838</v>
      </c>
    </row>
    <row r="238" spans="1:13" x14ac:dyDescent="0.25">
      <c r="A238" s="1">
        <v>45684</v>
      </c>
      <c r="B238">
        <v>599.37</v>
      </c>
      <c r="C238">
        <v>72.42</v>
      </c>
      <c r="D238">
        <v>252.99</v>
      </c>
      <c r="E238">
        <v>60.72</v>
      </c>
      <c r="G238" s="3">
        <f t="shared" si="12"/>
        <v>1.4246435063574842E-2</v>
      </c>
      <c r="H238" s="3">
        <f t="shared" si="13"/>
        <v>-5.2609840297397565E-3</v>
      </c>
      <c r="I238" s="3">
        <f t="shared" si="14"/>
        <v>1.0459359271348402E-2</v>
      </c>
      <c r="K238">
        <v>210</v>
      </c>
      <c r="L238" s="3">
        <v>0.05</v>
      </c>
      <c r="M238" s="3">
        <v>-0.11071779892325838</v>
      </c>
    </row>
    <row r="239" spans="1:13" x14ac:dyDescent="0.25">
      <c r="A239" s="1">
        <v>45681</v>
      </c>
      <c r="B239">
        <v>607.97</v>
      </c>
      <c r="C239">
        <v>72.040000000000006</v>
      </c>
      <c r="D239">
        <v>255.65</v>
      </c>
      <c r="E239">
        <v>61.08</v>
      </c>
      <c r="G239" s="3">
        <f t="shared" si="12"/>
        <v>2.9234984524874352E-3</v>
      </c>
      <c r="H239" s="3">
        <f t="shared" si="13"/>
        <v>-1.945255580754323E-3</v>
      </c>
      <c r="I239" s="3">
        <f t="shared" si="14"/>
        <v>-6.1995019243909722E-3</v>
      </c>
      <c r="K239">
        <v>211</v>
      </c>
      <c r="L239" s="3">
        <v>0.05</v>
      </c>
      <c r="M239" s="3">
        <v>-0.11071779892325838</v>
      </c>
    </row>
    <row r="240" spans="1:13" x14ac:dyDescent="0.25">
      <c r="A240" s="1">
        <v>45680</v>
      </c>
      <c r="B240">
        <v>609.75</v>
      </c>
      <c r="C240">
        <v>71.900000000000006</v>
      </c>
      <c r="D240">
        <v>254.07</v>
      </c>
      <c r="E240">
        <v>60.78</v>
      </c>
      <c r="G240" s="3">
        <f t="shared" si="12"/>
        <v>-5.4432418826486717E-3</v>
      </c>
      <c r="H240" s="3">
        <f t="shared" si="13"/>
        <v>1.5287335337743589E-3</v>
      </c>
      <c r="I240" s="3">
        <f t="shared" si="14"/>
        <v>1.4159294401010919E-3</v>
      </c>
      <c r="K240">
        <v>212</v>
      </c>
      <c r="L240" s="3">
        <v>0.05</v>
      </c>
      <c r="M240" s="3">
        <v>-0.11071779892325838</v>
      </c>
    </row>
    <row r="241" spans="1:13" x14ac:dyDescent="0.25">
      <c r="A241" s="1">
        <v>45679</v>
      </c>
      <c r="B241">
        <v>606.44000000000005</v>
      </c>
      <c r="C241">
        <v>72.010000000000005</v>
      </c>
      <c r="D241">
        <v>254.43</v>
      </c>
      <c r="E241">
        <v>60.39</v>
      </c>
      <c r="G241" s="3">
        <f t="shared" si="12"/>
        <v>-5.6056831841291227E-3</v>
      </c>
      <c r="H241" s="3">
        <f t="shared" si="13"/>
        <v>2.0808774935926031E-3</v>
      </c>
      <c r="I241" s="3">
        <f t="shared" si="14"/>
        <v>-5.1225582895847027E-3</v>
      </c>
      <c r="K241">
        <v>213</v>
      </c>
      <c r="L241" s="3">
        <v>0.05</v>
      </c>
      <c r="M241" s="3">
        <v>-0.11071779892325838</v>
      </c>
    </row>
    <row r="242" spans="1:13" x14ac:dyDescent="0.25">
      <c r="A242" s="1">
        <v>45678</v>
      </c>
      <c r="B242">
        <v>603.04999999999995</v>
      </c>
      <c r="C242">
        <v>72.16</v>
      </c>
      <c r="D242">
        <v>253.13</v>
      </c>
      <c r="E242">
        <v>60.52</v>
      </c>
      <c r="G242" s="3">
        <f t="shared" si="12"/>
        <v>-9.1119459728254311E-3</v>
      </c>
      <c r="H242" s="3">
        <f t="shared" si="13"/>
        <v>-2.9144424209913006E-3</v>
      </c>
      <c r="I242" s="3">
        <f t="shared" si="14"/>
        <v>-1.5366544407134005E-2</v>
      </c>
      <c r="K242">
        <v>214</v>
      </c>
      <c r="L242" s="3">
        <v>0.05</v>
      </c>
      <c r="M242" s="3">
        <v>-0.11071779892325838</v>
      </c>
    </row>
    <row r="243" spans="1:13" x14ac:dyDescent="0.25">
      <c r="A243" s="1">
        <v>45674</v>
      </c>
      <c r="B243">
        <v>597.58000000000004</v>
      </c>
      <c r="C243">
        <v>71.95</v>
      </c>
      <c r="D243">
        <v>249.27</v>
      </c>
      <c r="E243">
        <v>59.5</v>
      </c>
      <c r="G243" s="3">
        <f t="shared" si="12"/>
        <v>-9.9898242532571509E-3</v>
      </c>
      <c r="H243" s="3">
        <f t="shared" si="13"/>
        <v>-2.780094541119224E-4</v>
      </c>
      <c r="I243" s="3">
        <f t="shared" si="14"/>
        <v>5.3213961169682258E-3</v>
      </c>
      <c r="K243">
        <v>215</v>
      </c>
      <c r="L243" s="3">
        <v>0.05</v>
      </c>
      <c r="M243" s="3">
        <v>-0.11071779892325838</v>
      </c>
    </row>
    <row r="244" spans="1:13" x14ac:dyDescent="0.25">
      <c r="A244" s="1">
        <v>45673</v>
      </c>
      <c r="B244">
        <v>591.64</v>
      </c>
      <c r="C244">
        <v>71.930000000000007</v>
      </c>
      <c r="D244">
        <v>250.6</v>
      </c>
      <c r="E244">
        <v>59.21</v>
      </c>
      <c r="G244" s="3">
        <f t="shared" si="12"/>
        <v>1.92499341792944E-3</v>
      </c>
      <c r="H244" s="3">
        <f t="shared" si="13"/>
        <v>-1.9482332908731751E-3</v>
      </c>
      <c r="I244" s="3">
        <f t="shared" si="14"/>
        <v>-6.8871898725863627E-3</v>
      </c>
      <c r="K244">
        <v>216</v>
      </c>
      <c r="L244" s="3">
        <v>0.05</v>
      </c>
      <c r="M244" s="3">
        <v>-0.11071779892325838</v>
      </c>
    </row>
    <row r="245" spans="1:13" x14ac:dyDescent="0.25">
      <c r="A245" s="1">
        <v>45672</v>
      </c>
      <c r="B245">
        <v>592.78</v>
      </c>
      <c r="C245">
        <v>71.790000000000006</v>
      </c>
      <c r="D245">
        <v>248.88</v>
      </c>
      <c r="E245">
        <v>59.02</v>
      </c>
      <c r="G245" s="3">
        <f t="shared" si="12"/>
        <v>-1.802648028518903E-2</v>
      </c>
      <c r="H245" s="3">
        <f t="shared" si="13"/>
        <v>-7.9715127387601E-3</v>
      </c>
      <c r="I245" s="3">
        <f t="shared" si="14"/>
        <v>-7.4610658468895535E-3</v>
      </c>
      <c r="K245">
        <v>217</v>
      </c>
      <c r="L245" s="3">
        <v>0.05</v>
      </c>
      <c r="M245" s="3">
        <v>-0.11071779892325838</v>
      </c>
    </row>
    <row r="246" spans="1:13" x14ac:dyDescent="0.25">
      <c r="A246" s="1">
        <v>45671</v>
      </c>
      <c r="B246">
        <v>582.19000000000005</v>
      </c>
      <c r="C246">
        <v>71.22</v>
      </c>
      <c r="D246">
        <v>247.03</v>
      </c>
      <c r="E246">
        <v>58.33</v>
      </c>
      <c r="G246" s="3">
        <f t="shared" si="12"/>
        <v>-1.3750668214544625E-3</v>
      </c>
      <c r="H246" s="3">
        <f t="shared" si="13"/>
        <v>-7.0229653845183687E-4</v>
      </c>
      <c r="I246" s="3">
        <f t="shared" si="14"/>
        <v>-5.2357203030667984E-3</v>
      </c>
      <c r="K246">
        <v>218</v>
      </c>
      <c r="L246" s="3">
        <v>0.05</v>
      </c>
      <c r="M246" s="3">
        <v>-0.11071779892325838</v>
      </c>
    </row>
    <row r="247" spans="1:13" x14ac:dyDescent="0.25">
      <c r="A247" s="1">
        <v>45670</v>
      </c>
      <c r="B247">
        <v>581.39</v>
      </c>
      <c r="C247">
        <v>71.17</v>
      </c>
      <c r="D247">
        <v>245.74</v>
      </c>
      <c r="E247">
        <v>58.01</v>
      </c>
      <c r="G247" s="3">
        <f t="shared" si="12"/>
        <v>-1.5492136537417047E-3</v>
      </c>
      <c r="H247" s="3">
        <f t="shared" si="13"/>
        <v>9.8307711028117087E-4</v>
      </c>
      <c r="I247" s="3">
        <f t="shared" si="14"/>
        <v>1.0001095608095985E-2</v>
      </c>
      <c r="K247">
        <v>219</v>
      </c>
      <c r="L247" s="3">
        <v>0.05</v>
      </c>
      <c r="M247" s="3">
        <v>-0.11071779892325838</v>
      </c>
    </row>
    <row r="248" spans="1:13" x14ac:dyDescent="0.25">
      <c r="A248" s="1">
        <v>45667</v>
      </c>
      <c r="B248">
        <v>580.49</v>
      </c>
      <c r="C248">
        <v>71.239999999999995</v>
      </c>
      <c r="D248">
        <v>248.21</v>
      </c>
      <c r="E248">
        <v>58.23</v>
      </c>
      <c r="G248" s="3">
        <f t="shared" si="12"/>
        <v>1.5385181844416037E-2</v>
      </c>
      <c r="H248" s="3">
        <f t="shared" si="13"/>
        <v>5.1802705973876609E-3</v>
      </c>
      <c r="I248" s="3">
        <f t="shared" si="14"/>
        <v>-9.512893808326265E-3</v>
      </c>
      <c r="K248">
        <v>220</v>
      </c>
      <c r="L248" s="3">
        <v>0.05</v>
      </c>
      <c r="M248" s="3">
        <v>-0.11071779892325838</v>
      </c>
    </row>
    <row r="249" spans="1:13" x14ac:dyDescent="0.25">
      <c r="A249" s="1">
        <v>45665</v>
      </c>
      <c r="B249">
        <v>589.49</v>
      </c>
      <c r="C249">
        <v>71.61</v>
      </c>
      <c r="D249">
        <v>245.86</v>
      </c>
      <c r="E249">
        <v>59.2</v>
      </c>
      <c r="G249" s="3">
        <f t="shared" si="12"/>
        <v>-1.4599534050095072E-3</v>
      </c>
      <c r="H249" s="3">
        <f t="shared" si="13"/>
        <v>-1.1177868985559128E-3</v>
      </c>
      <c r="I249" s="3">
        <f t="shared" si="14"/>
        <v>-5.3015906566159232E-3</v>
      </c>
      <c r="K249">
        <v>221</v>
      </c>
      <c r="L249" s="3">
        <v>0.05</v>
      </c>
      <c r="M249" s="3">
        <v>-0.11071779892325838</v>
      </c>
    </row>
    <row r="250" spans="1:13" x14ac:dyDescent="0.25">
      <c r="A250" s="1">
        <v>45664</v>
      </c>
      <c r="B250">
        <v>588.63</v>
      </c>
      <c r="C250">
        <v>71.53</v>
      </c>
      <c r="D250">
        <v>244.56</v>
      </c>
      <c r="E250">
        <v>59.33</v>
      </c>
      <c r="G250" s="3">
        <f t="shared" si="12"/>
        <v>1.1368461698192459E-2</v>
      </c>
      <c r="H250" s="3">
        <f t="shared" si="13"/>
        <v>3.4889435991687836E-3</v>
      </c>
      <c r="I250" s="3">
        <f t="shared" si="14"/>
        <v>-5.6176467570052359E-3</v>
      </c>
      <c r="K250">
        <v>222</v>
      </c>
      <c r="L250" s="3">
        <v>0.05</v>
      </c>
      <c r="M250" s="3">
        <v>-0.11071779892325838</v>
      </c>
    </row>
    <row r="251" spans="1:13" x14ac:dyDescent="0.25">
      <c r="A251" s="1">
        <v>45663</v>
      </c>
      <c r="B251">
        <v>595.36</v>
      </c>
      <c r="C251">
        <v>71.78</v>
      </c>
      <c r="D251">
        <v>243.19</v>
      </c>
      <c r="E251">
        <v>59.6</v>
      </c>
      <c r="K251">
        <v>223</v>
      </c>
      <c r="L251" s="3">
        <v>0.05</v>
      </c>
      <c r="M251" s="3">
        <v>-0.11071779892325838</v>
      </c>
    </row>
    <row r="252" spans="1:13" x14ac:dyDescent="0.25">
      <c r="K252">
        <v>224</v>
      </c>
      <c r="L252" s="3">
        <v>0.05</v>
      </c>
      <c r="M252" s="3">
        <v>-0.11071779892325838</v>
      </c>
    </row>
    <row r="253" spans="1:13" x14ac:dyDescent="0.25">
      <c r="K253">
        <v>225</v>
      </c>
      <c r="L253" s="3">
        <v>0.05</v>
      </c>
      <c r="M253" s="3">
        <v>-0.11071779892325838</v>
      </c>
    </row>
    <row r="254" spans="1:13" x14ac:dyDescent="0.25">
      <c r="K254">
        <v>226</v>
      </c>
      <c r="L254" s="3">
        <v>0.05</v>
      </c>
      <c r="M254" s="3">
        <v>-0.11071779892325838</v>
      </c>
    </row>
    <row r="255" spans="1:13" x14ac:dyDescent="0.25">
      <c r="K255">
        <v>227</v>
      </c>
      <c r="L255" s="3">
        <v>0.05</v>
      </c>
      <c r="M255" s="3">
        <v>-0.11071779892325838</v>
      </c>
    </row>
    <row r="256" spans="1:13" x14ac:dyDescent="0.25">
      <c r="K256">
        <v>228</v>
      </c>
      <c r="L256" s="3">
        <v>0.05</v>
      </c>
      <c r="M256" s="3">
        <v>-0.11071779892325838</v>
      </c>
    </row>
    <row r="257" spans="11:13" x14ac:dyDescent="0.25">
      <c r="K257">
        <v>229</v>
      </c>
      <c r="L257" s="3">
        <v>0.05</v>
      </c>
      <c r="M257" s="3">
        <v>-0.11071779892325838</v>
      </c>
    </row>
    <row r="258" spans="11:13" x14ac:dyDescent="0.25">
      <c r="K258">
        <v>230</v>
      </c>
      <c r="L258" s="3">
        <v>0.05</v>
      </c>
      <c r="M258" s="3">
        <v>-0.11071779892325838</v>
      </c>
    </row>
    <row r="259" spans="11:13" x14ac:dyDescent="0.25">
      <c r="K259">
        <v>231</v>
      </c>
      <c r="L259" s="3">
        <v>0.05</v>
      </c>
      <c r="M259" s="3">
        <v>-0.11071779892325838</v>
      </c>
    </row>
    <row r="260" spans="11:13" x14ac:dyDescent="0.25">
      <c r="K260">
        <v>232</v>
      </c>
      <c r="L260" s="3">
        <v>0.05</v>
      </c>
      <c r="M260" s="3">
        <v>-0.11071779892325838</v>
      </c>
    </row>
    <row r="261" spans="11:13" x14ac:dyDescent="0.25">
      <c r="K261">
        <v>233</v>
      </c>
      <c r="L261" s="3">
        <v>0.05</v>
      </c>
      <c r="M261" s="3">
        <v>-0.11071779892325838</v>
      </c>
    </row>
    <row r="262" spans="11:13" x14ac:dyDescent="0.25">
      <c r="K262">
        <v>234</v>
      </c>
      <c r="L262" s="3">
        <v>0.05</v>
      </c>
      <c r="M262" s="3">
        <v>-0.11071779892325838</v>
      </c>
    </row>
    <row r="263" spans="11:13" x14ac:dyDescent="0.25">
      <c r="K263">
        <v>235</v>
      </c>
      <c r="L263" s="3">
        <v>0.05</v>
      </c>
      <c r="M263" s="3">
        <v>-0.11071779892325838</v>
      </c>
    </row>
    <row r="264" spans="11:13" x14ac:dyDescent="0.25">
      <c r="K264">
        <v>236</v>
      </c>
      <c r="L264" s="3">
        <v>0.05</v>
      </c>
      <c r="M264" s="3">
        <v>-0.11071779892325838</v>
      </c>
    </row>
    <row r="265" spans="11:13" x14ac:dyDescent="0.25">
      <c r="K265">
        <v>237</v>
      </c>
      <c r="L265" s="3">
        <v>0.05</v>
      </c>
      <c r="M265" s="3">
        <v>-0.11071779892325838</v>
      </c>
    </row>
    <row r="266" spans="11:13" x14ac:dyDescent="0.25">
      <c r="K266">
        <v>238</v>
      </c>
      <c r="L266" s="3">
        <v>0.05</v>
      </c>
      <c r="M266" s="3">
        <v>-0.11071779892325838</v>
      </c>
    </row>
    <row r="267" spans="11:13" x14ac:dyDescent="0.25">
      <c r="K267">
        <v>239</v>
      </c>
      <c r="L267" s="3">
        <v>0.05</v>
      </c>
      <c r="M267" s="3">
        <v>-0.11071779892325838</v>
      </c>
    </row>
    <row r="268" spans="11:13" x14ac:dyDescent="0.25">
      <c r="K268">
        <v>240</v>
      </c>
      <c r="L268" s="3">
        <v>0.05</v>
      </c>
      <c r="M268" s="3">
        <v>-0.11071779892325838</v>
      </c>
    </row>
    <row r="269" spans="11:13" x14ac:dyDescent="0.25">
      <c r="K269">
        <v>241</v>
      </c>
      <c r="L269" s="3">
        <v>0.05</v>
      </c>
      <c r="M269" s="3">
        <v>-0.11071779892325838</v>
      </c>
    </row>
    <row r="270" spans="11:13" x14ac:dyDescent="0.25">
      <c r="K270">
        <v>242</v>
      </c>
      <c r="L270" s="3">
        <v>0.05</v>
      </c>
      <c r="M270" s="3">
        <v>-0.11071779892325838</v>
      </c>
    </row>
    <row r="271" spans="11:13" x14ac:dyDescent="0.25">
      <c r="K271">
        <v>243</v>
      </c>
      <c r="L271" s="3">
        <v>0.05</v>
      </c>
      <c r="M271" s="3">
        <v>-0.11071779892325838</v>
      </c>
    </row>
    <row r="272" spans="11:13" x14ac:dyDescent="0.25">
      <c r="K272">
        <v>244</v>
      </c>
      <c r="L272" s="3">
        <v>0.05</v>
      </c>
      <c r="M272" s="3">
        <v>-0.11071779892325838</v>
      </c>
    </row>
    <row r="273" spans="11:13" x14ac:dyDescent="0.25">
      <c r="K273">
        <v>245</v>
      </c>
      <c r="L273" s="3">
        <v>0.05</v>
      </c>
      <c r="M273" s="3">
        <v>-0.11071779892325838</v>
      </c>
    </row>
    <row r="274" spans="11:13" x14ac:dyDescent="0.25">
      <c r="K274">
        <v>246</v>
      </c>
      <c r="L274" s="3">
        <v>0.05</v>
      </c>
      <c r="M274" s="3">
        <v>-0.11071779892325838</v>
      </c>
    </row>
    <row r="275" spans="11:13" x14ac:dyDescent="0.25">
      <c r="K275">
        <v>247</v>
      </c>
      <c r="L275" s="3">
        <v>0.05</v>
      </c>
      <c r="M275" s="3">
        <v>-0.11071779892325838</v>
      </c>
    </row>
    <row r="276" spans="11:13" x14ac:dyDescent="0.25">
      <c r="K276">
        <v>248</v>
      </c>
      <c r="L276" s="3">
        <v>0.05</v>
      </c>
      <c r="M276" s="3">
        <v>-0.11071779892325838</v>
      </c>
    </row>
    <row r="277" spans="11:13" x14ac:dyDescent="0.25">
      <c r="K277">
        <v>249</v>
      </c>
      <c r="L277" s="3">
        <v>0.05</v>
      </c>
      <c r="M277" s="3">
        <v>-0.11071779892325838</v>
      </c>
    </row>
    <row r="278" spans="11:13" x14ac:dyDescent="0.25">
      <c r="K278">
        <v>250</v>
      </c>
      <c r="L278" s="3">
        <v>0.05</v>
      </c>
      <c r="M278" s="3">
        <v>-0.11071779892325838</v>
      </c>
    </row>
    <row r="279" spans="11:13" x14ac:dyDescent="0.25">
      <c r="K279">
        <v>251</v>
      </c>
      <c r="L279" s="3">
        <v>0.05</v>
      </c>
      <c r="M279" s="3">
        <v>-0.11071779892325838</v>
      </c>
    </row>
    <row r="280" spans="11:13" x14ac:dyDescent="0.25">
      <c r="K280">
        <v>252</v>
      </c>
      <c r="L280" s="3">
        <v>0.05</v>
      </c>
      <c r="M280" s="3">
        <v>-0.11071779892325838</v>
      </c>
    </row>
    <row r="281" spans="11:13" x14ac:dyDescent="0.25">
      <c r="K281">
        <v>253</v>
      </c>
      <c r="L281" s="3">
        <v>0.05</v>
      </c>
      <c r="M281" s="3">
        <v>-0.11071779892325838</v>
      </c>
    </row>
    <row r="282" spans="11:13" x14ac:dyDescent="0.25">
      <c r="K282">
        <v>254</v>
      </c>
      <c r="L282" s="3">
        <v>0.05</v>
      </c>
      <c r="M282" s="3">
        <v>-0.11071779892325838</v>
      </c>
    </row>
    <row r="283" spans="11:13" x14ac:dyDescent="0.25">
      <c r="K283">
        <v>255</v>
      </c>
      <c r="L283" s="3">
        <v>0.05</v>
      </c>
      <c r="M283" s="3">
        <v>-0.11071779892325838</v>
      </c>
    </row>
    <row r="284" spans="11:13" x14ac:dyDescent="0.25">
      <c r="K284">
        <v>256</v>
      </c>
      <c r="L284" s="3">
        <v>0.05</v>
      </c>
      <c r="M284" s="3">
        <v>-0.11071779892325838</v>
      </c>
    </row>
    <row r="285" spans="11:13" x14ac:dyDescent="0.25">
      <c r="K285">
        <v>257</v>
      </c>
      <c r="L285" s="3">
        <v>0.05</v>
      </c>
      <c r="M285" s="3">
        <v>-0.11071779892325838</v>
      </c>
    </row>
    <row r="286" spans="11:13" x14ac:dyDescent="0.25">
      <c r="K286">
        <v>258</v>
      </c>
      <c r="L286" s="3">
        <v>0.05</v>
      </c>
      <c r="M286" s="3">
        <v>-0.11071779892325838</v>
      </c>
    </row>
    <row r="287" spans="11:13" x14ac:dyDescent="0.25">
      <c r="K287">
        <v>259</v>
      </c>
      <c r="L287" s="3">
        <v>0.05</v>
      </c>
      <c r="M287" s="3">
        <v>-0.11071779892325838</v>
      </c>
    </row>
    <row r="288" spans="11:13" x14ac:dyDescent="0.25">
      <c r="K288">
        <v>260</v>
      </c>
      <c r="L288" s="3">
        <v>0.05</v>
      </c>
      <c r="M288" s="3">
        <v>-0.11071779892325838</v>
      </c>
    </row>
    <row r="289" spans="11:13" x14ac:dyDescent="0.25">
      <c r="K289">
        <v>261</v>
      </c>
      <c r="L289" s="3">
        <v>0.05</v>
      </c>
      <c r="M289" s="3">
        <v>-0.11071779892325838</v>
      </c>
    </row>
    <row r="290" spans="11:13" x14ac:dyDescent="0.25">
      <c r="K290">
        <v>262</v>
      </c>
      <c r="L290" s="3">
        <v>0.05</v>
      </c>
      <c r="M290" s="3">
        <v>-0.11071779892325838</v>
      </c>
    </row>
    <row r="291" spans="11:13" x14ac:dyDescent="0.25">
      <c r="K291">
        <v>263</v>
      </c>
      <c r="L291" s="3">
        <v>0.05</v>
      </c>
      <c r="M291" s="3">
        <v>-0.11071779892325838</v>
      </c>
    </row>
    <row r="292" spans="11:13" x14ac:dyDescent="0.25">
      <c r="K292">
        <v>264</v>
      </c>
      <c r="L292" s="3">
        <v>0.05</v>
      </c>
      <c r="M292" s="3">
        <v>-0.11071779892325838</v>
      </c>
    </row>
    <row r="293" spans="11:13" x14ac:dyDescent="0.25">
      <c r="K293">
        <v>265</v>
      </c>
      <c r="L293" s="3">
        <v>0.05</v>
      </c>
      <c r="M293" s="3">
        <v>-0.11071779892325838</v>
      </c>
    </row>
    <row r="294" spans="11:13" x14ac:dyDescent="0.25">
      <c r="K294">
        <v>266</v>
      </c>
      <c r="L294" s="3">
        <v>0.05</v>
      </c>
      <c r="M294" s="3">
        <v>-0.11071779892325838</v>
      </c>
    </row>
    <row r="295" spans="11:13" x14ac:dyDescent="0.25">
      <c r="K295">
        <v>267</v>
      </c>
      <c r="L295" s="3">
        <v>0.05</v>
      </c>
      <c r="M295" s="3">
        <v>-0.11071779892325838</v>
      </c>
    </row>
    <row r="296" spans="11:13" x14ac:dyDescent="0.25">
      <c r="K296">
        <v>268</v>
      </c>
      <c r="L296" s="3">
        <v>0.05</v>
      </c>
      <c r="M296" s="3">
        <v>-0.11071779892325838</v>
      </c>
    </row>
    <row r="297" spans="11:13" x14ac:dyDescent="0.25">
      <c r="K297">
        <v>269</v>
      </c>
      <c r="L297" s="3">
        <v>0.05</v>
      </c>
      <c r="M297" s="3">
        <v>-0.11071779892325838</v>
      </c>
    </row>
    <row r="298" spans="11:13" x14ac:dyDescent="0.25">
      <c r="K298">
        <v>270</v>
      </c>
      <c r="L298" s="3">
        <v>0.05</v>
      </c>
      <c r="M298" s="3">
        <v>-0.11071779892325838</v>
      </c>
    </row>
    <row r="299" spans="11:13" x14ac:dyDescent="0.25">
      <c r="K299">
        <v>271</v>
      </c>
      <c r="L299" s="3">
        <v>0.05</v>
      </c>
      <c r="M299" s="3">
        <v>-0.11071779892325838</v>
      </c>
    </row>
    <row r="300" spans="11:13" x14ac:dyDescent="0.25">
      <c r="K300">
        <v>272</v>
      </c>
      <c r="L300" s="3">
        <v>0.05</v>
      </c>
      <c r="M300" s="3">
        <v>-0.11071779892325838</v>
      </c>
    </row>
    <row r="301" spans="11:13" x14ac:dyDescent="0.25">
      <c r="K301">
        <v>273</v>
      </c>
      <c r="L301" s="3">
        <v>0.05</v>
      </c>
      <c r="M301" s="3">
        <v>-0.11071779892325838</v>
      </c>
    </row>
    <row r="302" spans="11:13" x14ac:dyDescent="0.25">
      <c r="K302">
        <v>274</v>
      </c>
      <c r="L302" s="3">
        <v>0.05</v>
      </c>
      <c r="M302" s="3">
        <v>-0.11071779892325838</v>
      </c>
    </row>
    <row r="303" spans="11:13" x14ac:dyDescent="0.25">
      <c r="K303">
        <v>275</v>
      </c>
      <c r="L303" s="3">
        <v>0.05</v>
      </c>
      <c r="M303" s="3">
        <v>-0.11071779892325838</v>
      </c>
    </row>
    <row r="304" spans="11:13" x14ac:dyDescent="0.25">
      <c r="K304">
        <v>276</v>
      </c>
      <c r="L304" s="3">
        <v>0.05</v>
      </c>
      <c r="M304" s="3">
        <v>-0.11071779892325838</v>
      </c>
    </row>
    <row r="305" spans="11:13" x14ac:dyDescent="0.25">
      <c r="K305">
        <v>277</v>
      </c>
      <c r="L305" s="3">
        <v>0.05</v>
      </c>
      <c r="M305" s="3">
        <v>-0.11071779892325838</v>
      </c>
    </row>
    <row r="306" spans="11:13" x14ac:dyDescent="0.25">
      <c r="K306">
        <v>278</v>
      </c>
      <c r="L306" s="3">
        <v>0.05</v>
      </c>
      <c r="M306" s="3">
        <v>-0.11071779892325838</v>
      </c>
    </row>
    <row r="307" spans="11:13" x14ac:dyDescent="0.25">
      <c r="K307">
        <v>279</v>
      </c>
      <c r="L307" s="3">
        <v>0.05</v>
      </c>
      <c r="M307" s="3">
        <v>-0.11071779892325838</v>
      </c>
    </row>
    <row r="308" spans="11:13" x14ac:dyDescent="0.25">
      <c r="K308">
        <v>280</v>
      </c>
      <c r="L308" s="3">
        <v>0.05</v>
      </c>
      <c r="M308" s="3">
        <v>-0.11071779892325838</v>
      </c>
    </row>
    <row r="309" spans="11:13" x14ac:dyDescent="0.25">
      <c r="K309">
        <v>281</v>
      </c>
      <c r="L309" s="3">
        <v>0.05</v>
      </c>
      <c r="M309" s="3">
        <v>-0.11071779892325838</v>
      </c>
    </row>
    <row r="310" spans="11:13" x14ac:dyDescent="0.25">
      <c r="K310">
        <v>282</v>
      </c>
      <c r="L310" s="3">
        <v>0.05</v>
      </c>
      <c r="M310" s="3">
        <v>-0.11071779892325838</v>
      </c>
    </row>
    <row r="311" spans="11:13" x14ac:dyDescent="0.25">
      <c r="K311">
        <v>283</v>
      </c>
      <c r="L311" s="3">
        <v>0.05</v>
      </c>
      <c r="M311" s="3">
        <v>-0.11071779892325838</v>
      </c>
    </row>
    <row r="312" spans="11:13" x14ac:dyDescent="0.25">
      <c r="K312">
        <v>284</v>
      </c>
      <c r="L312" s="3">
        <v>0.05</v>
      </c>
      <c r="M312" s="3">
        <v>-0.11071779892325838</v>
      </c>
    </row>
    <row r="313" spans="11:13" x14ac:dyDescent="0.25">
      <c r="K313">
        <v>285</v>
      </c>
      <c r="L313" s="3">
        <v>0.05</v>
      </c>
      <c r="M313" s="3">
        <v>-0.11071779892325838</v>
      </c>
    </row>
    <row r="314" spans="11:13" x14ac:dyDescent="0.25">
      <c r="K314">
        <v>286</v>
      </c>
      <c r="L314" s="3">
        <v>0.05</v>
      </c>
      <c r="M314" s="3">
        <v>-0.11071779892325838</v>
      </c>
    </row>
    <row r="315" spans="11:13" x14ac:dyDescent="0.25">
      <c r="K315">
        <v>287</v>
      </c>
      <c r="L315" s="3">
        <v>0.05</v>
      </c>
      <c r="M315" s="3">
        <v>-0.11071779892325838</v>
      </c>
    </row>
    <row r="316" spans="11:13" x14ac:dyDescent="0.25">
      <c r="K316">
        <v>288</v>
      </c>
      <c r="L316" s="3">
        <v>0.05</v>
      </c>
      <c r="M316" s="3">
        <v>-0.11071779892325838</v>
      </c>
    </row>
    <row r="317" spans="11:13" x14ac:dyDescent="0.25">
      <c r="K317">
        <v>289</v>
      </c>
      <c r="L317" s="3">
        <v>0.05</v>
      </c>
      <c r="M317" s="3">
        <v>-0.11071779892325838</v>
      </c>
    </row>
    <row r="318" spans="11:13" x14ac:dyDescent="0.25">
      <c r="K318">
        <v>290</v>
      </c>
      <c r="L318" s="3">
        <v>0.05</v>
      </c>
      <c r="M318" s="3">
        <v>-0.11071779892325838</v>
      </c>
    </row>
    <row r="319" spans="11:13" x14ac:dyDescent="0.25">
      <c r="K319">
        <v>291</v>
      </c>
      <c r="L319" s="3">
        <v>0.05</v>
      </c>
      <c r="M319" s="3">
        <v>-0.11071779892325838</v>
      </c>
    </row>
    <row r="320" spans="11:13" x14ac:dyDescent="0.25">
      <c r="K320">
        <v>292</v>
      </c>
      <c r="L320" s="3">
        <v>0.05</v>
      </c>
      <c r="M320" s="3">
        <v>-0.11071779892325838</v>
      </c>
    </row>
    <row r="321" spans="11:13" x14ac:dyDescent="0.25">
      <c r="K321">
        <v>293</v>
      </c>
      <c r="L321" s="3">
        <v>0.05</v>
      </c>
      <c r="M321" s="3">
        <v>-0.11071779892325838</v>
      </c>
    </row>
    <row r="322" spans="11:13" x14ac:dyDescent="0.25">
      <c r="K322">
        <v>294</v>
      </c>
      <c r="L322" s="3">
        <v>0.05</v>
      </c>
      <c r="M322" s="3">
        <v>-0.11071779892325838</v>
      </c>
    </row>
    <row r="323" spans="11:13" x14ac:dyDescent="0.25">
      <c r="K323">
        <v>295</v>
      </c>
      <c r="L323" s="3">
        <v>0.05</v>
      </c>
      <c r="M323" s="3">
        <v>-0.11071779892325838</v>
      </c>
    </row>
    <row r="324" spans="11:13" x14ac:dyDescent="0.25">
      <c r="K324">
        <v>296</v>
      </c>
      <c r="L324" s="3">
        <v>0.05</v>
      </c>
      <c r="M324" s="3">
        <v>-0.11071779892325838</v>
      </c>
    </row>
    <row r="325" spans="11:13" x14ac:dyDescent="0.25">
      <c r="K325">
        <v>297</v>
      </c>
      <c r="L325" s="3">
        <v>0.05</v>
      </c>
      <c r="M325" s="3">
        <v>-0.11071779892325838</v>
      </c>
    </row>
    <row r="326" spans="11:13" x14ac:dyDescent="0.25">
      <c r="K326">
        <v>298</v>
      </c>
      <c r="L326" s="3">
        <v>0.05</v>
      </c>
      <c r="M326" s="3">
        <v>-0.11071779892325838</v>
      </c>
    </row>
    <row r="327" spans="11:13" x14ac:dyDescent="0.25">
      <c r="K327">
        <v>299</v>
      </c>
      <c r="L327" s="3">
        <v>0.05</v>
      </c>
      <c r="M327" s="3">
        <v>-0.11071779892325838</v>
      </c>
    </row>
    <row r="328" spans="11:13" x14ac:dyDescent="0.25">
      <c r="K328">
        <v>300</v>
      </c>
      <c r="L328" s="3">
        <v>0.05</v>
      </c>
      <c r="M328" s="3">
        <v>-0.11071779892325838</v>
      </c>
    </row>
    <row r="329" spans="11:13" x14ac:dyDescent="0.25">
      <c r="K329">
        <v>301</v>
      </c>
      <c r="L329" s="3">
        <v>0.05</v>
      </c>
      <c r="M329" s="3">
        <v>-0.11071779892325838</v>
      </c>
    </row>
    <row r="330" spans="11:13" x14ac:dyDescent="0.25">
      <c r="K330">
        <v>302</v>
      </c>
      <c r="L330" s="3">
        <v>0.05</v>
      </c>
      <c r="M330" s="3">
        <v>-0.11071779892325838</v>
      </c>
    </row>
    <row r="331" spans="11:13" x14ac:dyDescent="0.25">
      <c r="K331">
        <v>303</v>
      </c>
      <c r="L331" s="3">
        <v>0.05</v>
      </c>
      <c r="M331" s="3">
        <v>-0.11071779892325838</v>
      </c>
    </row>
    <row r="332" spans="11:13" x14ac:dyDescent="0.25">
      <c r="K332">
        <v>304</v>
      </c>
      <c r="L332" s="3">
        <v>0.05</v>
      </c>
      <c r="M332" s="3">
        <v>-0.11071779892325838</v>
      </c>
    </row>
    <row r="333" spans="11:13" x14ac:dyDescent="0.25">
      <c r="K333">
        <v>305</v>
      </c>
      <c r="L333" s="3">
        <v>0.05</v>
      </c>
      <c r="M333" s="3">
        <v>-0.11071779892325838</v>
      </c>
    </row>
    <row r="334" spans="11:13" x14ac:dyDescent="0.25">
      <c r="K334">
        <v>306</v>
      </c>
      <c r="L334" s="3">
        <v>0.05</v>
      </c>
      <c r="M334" s="3">
        <v>-0.11071779892325838</v>
      </c>
    </row>
    <row r="335" spans="11:13" x14ac:dyDescent="0.25">
      <c r="K335">
        <v>307</v>
      </c>
      <c r="L335" s="3">
        <v>0.05</v>
      </c>
      <c r="M335" s="3">
        <v>-0.11071779892325838</v>
      </c>
    </row>
    <row r="336" spans="11:13" x14ac:dyDescent="0.25">
      <c r="K336">
        <v>308</v>
      </c>
      <c r="L336" s="3">
        <v>0.05</v>
      </c>
      <c r="M336" s="3">
        <v>-0.11071779892325838</v>
      </c>
    </row>
    <row r="337" spans="11:13" x14ac:dyDescent="0.25">
      <c r="K337">
        <v>309</v>
      </c>
      <c r="L337" s="3">
        <v>0.05</v>
      </c>
      <c r="M337" s="3">
        <v>-0.11071779892325838</v>
      </c>
    </row>
    <row r="338" spans="11:13" x14ac:dyDescent="0.25">
      <c r="K338">
        <v>310</v>
      </c>
      <c r="L338" s="3">
        <v>0.05</v>
      </c>
      <c r="M338" s="3">
        <v>-0.11071779892325838</v>
      </c>
    </row>
    <row r="339" spans="11:13" x14ac:dyDescent="0.25">
      <c r="K339">
        <v>311</v>
      </c>
      <c r="L339" s="3">
        <v>0.05</v>
      </c>
      <c r="M339" s="3">
        <v>-0.11071779892325838</v>
      </c>
    </row>
    <row r="340" spans="11:13" x14ac:dyDescent="0.25">
      <c r="K340">
        <v>312</v>
      </c>
      <c r="L340" s="3">
        <v>0.05</v>
      </c>
      <c r="M340" s="3">
        <v>-0.11071779892325838</v>
      </c>
    </row>
    <row r="341" spans="11:13" x14ac:dyDescent="0.25">
      <c r="K341">
        <v>313</v>
      </c>
      <c r="L341" s="3">
        <v>0.05</v>
      </c>
      <c r="M341" s="3">
        <v>-0.11071779892325838</v>
      </c>
    </row>
    <row r="342" spans="11:13" x14ac:dyDescent="0.25">
      <c r="K342">
        <v>314</v>
      </c>
      <c r="L342" s="3">
        <v>0.05</v>
      </c>
      <c r="M342" s="3">
        <v>-0.11071779892325838</v>
      </c>
    </row>
    <row r="343" spans="11:13" x14ac:dyDescent="0.25">
      <c r="K343">
        <v>315</v>
      </c>
      <c r="L343" s="3">
        <v>0.05</v>
      </c>
      <c r="M343" s="3">
        <v>-0.11071779892325838</v>
      </c>
    </row>
    <row r="344" spans="11:13" x14ac:dyDescent="0.25">
      <c r="K344">
        <v>316</v>
      </c>
      <c r="L344" s="3">
        <v>0.05</v>
      </c>
      <c r="M344" s="3">
        <v>-0.11071779892325838</v>
      </c>
    </row>
    <row r="345" spans="11:13" x14ac:dyDescent="0.25">
      <c r="K345">
        <v>317</v>
      </c>
      <c r="L345" s="3">
        <v>0.05</v>
      </c>
      <c r="M345" s="3">
        <v>-0.11071779892325838</v>
      </c>
    </row>
    <row r="346" spans="11:13" x14ac:dyDescent="0.25">
      <c r="K346">
        <v>318</v>
      </c>
      <c r="L346" s="3">
        <v>0.05</v>
      </c>
      <c r="M346" s="3">
        <v>-0.11071779892325838</v>
      </c>
    </row>
    <row r="347" spans="11:13" x14ac:dyDescent="0.25">
      <c r="K347">
        <v>319</v>
      </c>
      <c r="L347" s="3">
        <v>0.05</v>
      </c>
      <c r="M347" s="3">
        <v>-0.11071779892325838</v>
      </c>
    </row>
    <row r="348" spans="11:13" x14ac:dyDescent="0.25">
      <c r="K348">
        <v>320</v>
      </c>
      <c r="L348" s="3">
        <v>0.05</v>
      </c>
      <c r="M348" s="3">
        <v>-0.11071779892325838</v>
      </c>
    </row>
    <row r="349" spans="11:13" x14ac:dyDescent="0.25">
      <c r="K349">
        <v>321</v>
      </c>
      <c r="L349" s="3">
        <v>0.05</v>
      </c>
      <c r="M349" s="3">
        <v>-0.11071779892325838</v>
      </c>
    </row>
    <row r="350" spans="11:13" x14ac:dyDescent="0.25">
      <c r="K350">
        <v>322</v>
      </c>
      <c r="L350" s="3">
        <v>0.05</v>
      </c>
      <c r="M350" s="3">
        <v>-0.11071779892325838</v>
      </c>
    </row>
    <row r="351" spans="11:13" x14ac:dyDescent="0.25">
      <c r="K351">
        <v>323</v>
      </c>
      <c r="L351" s="3">
        <v>0.05</v>
      </c>
      <c r="M351" s="3">
        <v>-0.11071779892325838</v>
      </c>
    </row>
    <row r="352" spans="11:13" x14ac:dyDescent="0.25">
      <c r="K352">
        <v>324</v>
      </c>
      <c r="L352" s="3">
        <v>0.05</v>
      </c>
      <c r="M352" s="3">
        <v>-0.11071779892325838</v>
      </c>
    </row>
    <row r="353" spans="11:13" x14ac:dyDescent="0.25">
      <c r="K353">
        <v>325</v>
      </c>
      <c r="L353" s="3">
        <v>0.05</v>
      </c>
      <c r="M353" s="3">
        <v>-0.11071779892325838</v>
      </c>
    </row>
    <row r="354" spans="11:13" x14ac:dyDescent="0.25">
      <c r="K354">
        <v>326</v>
      </c>
      <c r="L354" s="3">
        <v>0.05</v>
      </c>
      <c r="M354" s="3">
        <v>-0.11071779892325838</v>
      </c>
    </row>
    <row r="355" spans="11:13" x14ac:dyDescent="0.25">
      <c r="K355">
        <v>327</v>
      </c>
      <c r="L355" s="3">
        <v>0.05</v>
      </c>
      <c r="M355" s="3">
        <v>-0.11071779892325838</v>
      </c>
    </row>
    <row r="356" spans="11:13" x14ac:dyDescent="0.25">
      <c r="K356">
        <v>328</v>
      </c>
      <c r="L356" s="3">
        <v>0.05</v>
      </c>
      <c r="M356" s="3">
        <v>-0.11071779892325838</v>
      </c>
    </row>
    <row r="357" spans="11:13" x14ac:dyDescent="0.25">
      <c r="K357">
        <v>329</v>
      </c>
      <c r="L357" s="3">
        <v>0.05</v>
      </c>
      <c r="M357" s="3">
        <v>-0.11071779892325838</v>
      </c>
    </row>
    <row r="358" spans="11:13" x14ac:dyDescent="0.25">
      <c r="K358">
        <v>330</v>
      </c>
      <c r="L358" s="3">
        <v>0.05</v>
      </c>
      <c r="M358" s="3">
        <v>-0.11071779892325838</v>
      </c>
    </row>
    <row r="359" spans="11:13" x14ac:dyDescent="0.25">
      <c r="K359">
        <v>331</v>
      </c>
      <c r="L359" s="3">
        <v>0.05</v>
      </c>
      <c r="M359" s="3">
        <v>-0.11071779892325838</v>
      </c>
    </row>
    <row r="360" spans="11:13" x14ac:dyDescent="0.25">
      <c r="K360">
        <v>332</v>
      </c>
      <c r="L360" s="3">
        <v>0.05</v>
      </c>
      <c r="M360" s="3">
        <v>-0.11071779892325838</v>
      </c>
    </row>
    <row r="361" spans="11:13" x14ac:dyDescent="0.25">
      <c r="K361">
        <v>333</v>
      </c>
      <c r="L361" s="3">
        <v>0.05</v>
      </c>
      <c r="M361" s="3">
        <v>-0.11071779892325838</v>
      </c>
    </row>
    <row r="362" spans="11:13" x14ac:dyDescent="0.25">
      <c r="K362">
        <v>334</v>
      </c>
      <c r="L362" s="3">
        <v>0.05</v>
      </c>
      <c r="M362" s="3">
        <v>-0.11071779892325838</v>
      </c>
    </row>
    <row r="363" spans="11:13" x14ac:dyDescent="0.25">
      <c r="K363">
        <v>335</v>
      </c>
      <c r="L363" s="3">
        <v>0.05</v>
      </c>
      <c r="M363" s="3">
        <v>-0.11071779892325838</v>
      </c>
    </row>
    <row r="364" spans="11:13" x14ac:dyDescent="0.25">
      <c r="K364">
        <v>336</v>
      </c>
      <c r="L364" s="3">
        <v>0.05</v>
      </c>
      <c r="M364" s="3">
        <v>-0.11071779892325838</v>
      </c>
    </row>
    <row r="365" spans="11:13" x14ac:dyDescent="0.25">
      <c r="K365">
        <v>337</v>
      </c>
      <c r="L365" s="3">
        <v>0.05</v>
      </c>
      <c r="M365" s="3">
        <v>-0.11071779892325838</v>
      </c>
    </row>
    <row r="366" spans="11:13" x14ac:dyDescent="0.25">
      <c r="K366">
        <v>338</v>
      </c>
      <c r="L366" s="3">
        <v>0.05</v>
      </c>
      <c r="M366" s="3">
        <v>-0.11071779892325838</v>
      </c>
    </row>
    <row r="367" spans="11:13" x14ac:dyDescent="0.25">
      <c r="K367">
        <v>339</v>
      </c>
      <c r="L367" s="3">
        <v>0.05</v>
      </c>
      <c r="M367" s="3">
        <v>-0.11071779892325838</v>
      </c>
    </row>
    <row r="368" spans="11:13" x14ac:dyDescent="0.25">
      <c r="K368">
        <v>340</v>
      </c>
      <c r="L368" s="3">
        <v>0.05</v>
      </c>
      <c r="M368" s="3">
        <v>-0.11071779892325838</v>
      </c>
    </row>
    <row r="369" spans="11:13" x14ac:dyDescent="0.25">
      <c r="K369">
        <v>341</v>
      </c>
      <c r="L369" s="3">
        <v>0.05</v>
      </c>
      <c r="M369" s="3">
        <v>-0.11071779892325838</v>
      </c>
    </row>
    <row r="370" spans="11:13" x14ac:dyDescent="0.25">
      <c r="K370">
        <v>342</v>
      </c>
      <c r="L370" s="3">
        <v>0.05</v>
      </c>
      <c r="M370" s="3">
        <v>-0.11071779892325838</v>
      </c>
    </row>
    <row r="371" spans="11:13" x14ac:dyDescent="0.25">
      <c r="K371">
        <v>343</v>
      </c>
      <c r="L371" s="3">
        <v>0.05</v>
      </c>
      <c r="M371" s="3">
        <v>-0.11071779892325838</v>
      </c>
    </row>
    <row r="372" spans="11:13" x14ac:dyDescent="0.25">
      <c r="K372">
        <v>344</v>
      </c>
      <c r="L372" s="3">
        <v>0.05</v>
      </c>
      <c r="M372" s="3">
        <v>-0.11071779892325838</v>
      </c>
    </row>
    <row r="373" spans="11:13" x14ac:dyDescent="0.25">
      <c r="K373">
        <v>345</v>
      </c>
      <c r="L373" s="3">
        <v>0.05</v>
      </c>
      <c r="M373" s="3">
        <v>-0.11071779892325838</v>
      </c>
    </row>
    <row r="374" spans="11:13" x14ac:dyDescent="0.25">
      <c r="K374">
        <v>346</v>
      </c>
      <c r="L374" s="3">
        <v>0.05</v>
      </c>
      <c r="M374" s="3">
        <v>-0.11071779892325838</v>
      </c>
    </row>
    <row r="375" spans="11:13" x14ac:dyDescent="0.25">
      <c r="K375">
        <v>347</v>
      </c>
      <c r="L375" s="3">
        <v>0.05</v>
      </c>
      <c r="M375" s="3">
        <v>-0.11071779892325838</v>
      </c>
    </row>
    <row r="376" spans="11:13" x14ac:dyDescent="0.25">
      <c r="K376">
        <v>348</v>
      </c>
      <c r="L376" s="3">
        <v>0.05</v>
      </c>
      <c r="M376" s="3">
        <v>-0.11071779892325838</v>
      </c>
    </row>
    <row r="377" spans="11:13" x14ac:dyDescent="0.25">
      <c r="K377">
        <v>349</v>
      </c>
      <c r="L377" s="3">
        <v>0.05</v>
      </c>
      <c r="M377" s="3">
        <v>-0.11071779892325838</v>
      </c>
    </row>
    <row r="378" spans="11:13" x14ac:dyDescent="0.25">
      <c r="K378">
        <v>350</v>
      </c>
      <c r="L378" s="3">
        <v>0.05</v>
      </c>
      <c r="M378" s="3">
        <v>-0.11071779892325838</v>
      </c>
    </row>
    <row r="379" spans="11:13" x14ac:dyDescent="0.25">
      <c r="K379">
        <v>351</v>
      </c>
      <c r="L379" s="3">
        <v>0.05</v>
      </c>
      <c r="M379" s="3">
        <v>-0.11071779892325838</v>
      </c>
    </row>
    <row r="380" spans="11:13" x14ac:dyDescent="0.25">
      <c r="K380">
        <v>352</v>
      </c>
      <c r="L380" s="3">
        <v>0.05</v>
      </c>
      <c r="M380" s="3">
        <v>-0.11071779892325838</v>
      </c>
    </row>
    <row r="381" spans="11:13" x14ac:dyDescent="0.25">
      <c r="K381">
        <v>353</v>
      </c>
      <c r="L381" s="3">
        <v>0.05</v>
      </c>
      <c r="M381" s="3">
        <v>-0.11071779892325838</v>
      </c>
    </row>
    <row r="382" spans="11:13" x14ac:dyDescent="0.25">
      <c r="K382">
        <v>354</v>
      </c>
      <c r="L382" s="3">
        <v>0.05</v>
      </c>
      <c r="M382" s="3">
        <v>-0.11071779892325838</v>
      </c>
    </row>
    <row r="383" spans="11:13" x14ac:dyDescent="0.25">
      <c r="K383">
        <v>355</v>
      </c>
      <c r="L383" s="3">
        <v>0.05</v>
      </c>
      <c r="M383" s="3">
        <v>-0.11071779892325838</v>
      </c>
    </row>
    <row r="384" spans="11:13" x14ac:dyDescent="0.25">
      <c r="K384">
        <v>356</v>
      </c>
      <c r="L384" s="3">
        <v>0.05</v>
      </c>
      <c r="M384" s="3">
        <v>-0.11071779892325838</v>
      </c>
    </row>
    <row r="385" spans="11:13" x14ac:dyDescent="0.25">
      <c r="K385">
        <v>357</v>
      </c>
      <c r="L385" s="3">
        <v>0.05</v>
      </c>
      <c r="M385" s="3">
        <v>-0.11071779892325838</v>
      </c>
    </row>
    <row r="386" spans="11:13" x14ac:dyDescent="0.25">
      <c r="K386">
        <v>358</v>
      </c>
      <c r="L386" s="3">
        <v>0.05</v>
      </c>
      <c r="M386" s="3">
        <v>-0.11071779892325838</v>
      </c>
    </row>
    <row r="387" spans="11:13" x14ac:dyDescent="0.25">
      <c r="K387">
        <v>359</v>
      </c>
      <c r="L387" s="3">
        <v>0.05</v>
      </c>
      <c r="M387" s="3">
        <v>-0.11071779892325838</v>
      </c>
    </row>
    <row r="388" spans="11:13" x14ac:dyDescent="0.25">
      <c r="K388">
        <v>360</v>
      </c>
      <c r="L388" s="3">
        <v>0.05</v>
      </c>
      <c r="M388" s="3">
        <v>-0.11071779892325838</v>
      </c>
    </row>
    <row r="389" spans="11:13" x14ac:dyDescent="0.25">
      <c r="K389">
        <v>361</v>
      </c>
      <c r="L389" s="3">
        <v>0.05</v>
      </c>
      <c r="M389" s="3">
        <v>-0.11071779892325838</v>
      </c>
    </row>
    <row r="390" spans="11:13" x14ac:dyDescent="0.25">
      <c r="K390">
        <v>362</v>
      </c>
      <c r="L390" s="3">
        <v>0.05</v>
      </c>
      <c r="M390" s="3">
        <v>-0.11071779892325838</v>
      </c>
    </row>
    <row r="391" spans="11:13" x14ac:dyDescent="0.25">
      <c r="K391">
        <v>363</v>
      </c>
      <c r="L391" s="3">
        <v>0.05</v>
      </c>
      <c r="M391" s="3">
        <v>-0.11071779892325838</v>
      </c>
    </row>
    <row r="392" spans="11:13" x14ac:dyDescent="0.25">
      <c r="K392">
        <v>364</v>
      </c>
      <c r="L392" s="3">
        <v>0.05</v>
      </c>
      <c r="M392" s="3">
        <v>-0.11071779892325838</v>
      </c>
    </row>
    <row r="393" spans="11:13" x14ac:dyDescent="0.25">
      <c r="K393">
        <v>365</v>
      </c>
      <c r="L393" s="3">
        <v>0.05</v>
      </c>
      <c r="M393" s="3">
        <v>-0.11071779892325838</v>
      </c>
    </row>
    <row r="394" spans="11:13" x14ac:dyDescent="0.25">
      <c r="K394">
        <v>366</v>
      </c>
      <c r="L394" s="3">
        <v>0.05</v>
      </c>
      <c r="M394" s="3">
        <v>-0.11071779892325838</v>
      </c>
    </row>
    <row r="395" spans="11:13" x14ac:dyDescent="0.25">
      <c r="K395">
        <v>367</v>
      </c>
      <c r="L395" s="3">
        <v>0.05</v>
      </c>
      <c r="M395" s="3">
        <v>-0.11071779892325838</v>
      </c>
    </row>
    <row r="396" spans="11:13" x14ac:dyDescent="0.25">
      <c r="K396">
        <v>368</v>
      </c>
      <c r="L396" s="3">
        <v>0.05</v>
      </c>
      <c r="M396" s="3">
        <v>-0.11071779892325838</v>
      </c>
    </row>
    <row r="397" spans="11:13" x14ac:dyDescent="0.25">
      <c r="K397">
        <v>369</v>
      </c>
      <c r="L397" s="3">
        <v>0.05</v>
      </c>
      <c r="M397" s="3">
        <v>-0.11071779892325838</v>
      </c>
    </row>
    <row r="398" spans="11:13" x14ac:dyDescent="0.25">
      <c r="K398">
        <v>370</v>
      </c>
      <c r="L398" s="3">
        <v>0.05</v>
      </c>
      <c r="M398" s="3">
        <v>-0.11071779892325838</v>
      </c>
    </row>
    <row r="399" spans="11:13" x14ac:dyDescent="0.25">
      <c r="K399">
        <v>371</v>
      </c>
      <c r="L399" s="3">
        <v>0.05</v>
      </c>
      <c r="M399" s="3">
        <v>-0.11071779892325838</v>
      </c>
    </row>
    <row r="400" spans="11:13" x14ac:dyDescent="0.25">
      <c r="K400">
        <v>372</v>
      </c>
      <c r="L400" s="3">
        <v>0.05</v>
      </c>
      <c r="M400" s="3">
        <v>-0.11071779892325838</v>
      </c>
    </row>
    <row r="401" spans="11:13" x14ac:dyDescent="0.25">
      <c r="K401">
        <v>373</v>
      </c>
      <c r="L401" s="3">
        <v>0.05</v>
      </c>
      <c r="M401" s="3">
        <v>-0.11071779892325838</v>
      </c>
    </row>
    <row r="402" spans="11:13" x14ac:dyDescent="0.25">
      <c r="K402">
        <v>374</v>
      </c>
      <c r="L402" s="3">
        <v>0.05</v>
      </c>
      <c r="M402" s="3">
        <v>-0.11071779892325838</v>
      </c>
    </row>
    <row r="403" spans="11:13" x14ac:dyDescent="0.25">
      <c r="K403">
        <v>375</v>
      </c>
      <c r="L403" s="3">
        <v>0.05</v>
      </c>
      <c r="M403" s="3">
        <v>-0.11071779892325838</v>
      </c>
    </row>
    <row r="404" spans="11:13" x14ac:dyDescent="0.25">
      <c r="K404">
        <v>376</v>
      </c>
      <c r="L404" s="3">
        <v>0.05</v>
      </c>
      <c r="M404" s="3">
        <v>-0.11071779892325838</v>
      </c>
    </row>
    <row r="405" spans="11:13" x14ac:dyDescent="0.25">
      <c r="K405">
        <v>377</v>
      </c>
      <c r="L405" s="3">
        <v>0.05</v>
      </c>
      <c r="M405" s="3">
        <v>-0.11071779892325838</v>
      </c>
    </row>
    <row r="406" spans="11:13" x14ac:dyDescent="0.25">
      <c r="K406">
        <v>378</v>
      </c>
      <c r="L406" s="3">
        <v>0.05</v>
      </c>
      <c r="M406" s="3">
        <v>-0.11071779892325838</v>
      </c>
    </row>
    <row r="407" spans="11:13" x14ac:dyDescent="0.25">
      <c r="K407">
        <v>379</v>
      </c>
      <c r="L407" s="3">
        <v>0.05</v>
      </c>
      <c r="M407" s="3">
        <v>-0.11071779892325838</v>
      </c>
    </row>
    <row r="408" spans="11:13" x14ac:dyDescent="0.25">
      <c r="K408">
        <v>380</v>
      </c>
      <c r="L408" s="3">
        <v>0.05</v>
      </c>
      <c r="M408" s="3">
        <v>-0.11071779892325838</v>
      </c>
    </row>
    <row r="409" spans="11:13" x14ac:dyDescent="0.25">
      <c r="K409">
        <v>381</v>
      </c>
      <c r="L409" s="3">
        <v>0.05</v>
      </c>
      <c r="M409" s="3">
        <v>-0.11071779892325838</v>
      </c>
    </row>
    <row r="410" spans="11:13" x14ac:dyDescent="0.25">
      <c r="K410">
        <v>382</v>
      </c>
      <c r="L410" s="3">
        <v>0.05</v>
      </c>
      <c r="M410" s="3">
        <v>-0.11071779892325838</v>
      </c>
    </row>
    <row r="411" spans="11:13" x14ac:dyDescent="0.25">
      <c r="K411">
        <v>383</v>
      </c>
      <c r="L411" s="3">
        <v>0.05</v>
      </c>
      <c r="M411" s="3">
        <v>-0.11071779892325838</v>
      </c>
    </row>
    <row r="412" spans="11:13" x14ac:dyDescent="0.25">
      <c r="K412">
        <v>384</v>
      </c>
      <c r="L412" s="3">
        <v>0.05</v>
      </c>
      <c r="M412" s="3">
        <v>-0.11071779892325838</v>
      </c>
    </row>
    <row r="413" spans="11:13" x14ac:dyDescent="0.25">
      <c r="K413">
        <v>385</v>
      </c>
      <c r="L413" s="3">
        <v>0.05</v>
      </c>
      <c r="M413" s="3">
        <v>-0.11071779892325838</v>
      </c>
    </row>
    <row r="414" spans="11:13" x14ac:dyDescent="0.25">
      <c r="K414">
        <v>386</v>
      </c>
      <c r="L414" s="3">
        <v>0.05</v>
      </c>
      <c r="M414" s="3">
        <v>-0.11071779892325838</v>
      </c>
    </row>
    <row r="415" spans="11:13" x14ac:dyDescent="0.25">
      <c r="K415">
        <v>387</v>
      </c>
      <c r="L415" s="3">
        <v>0.05</v>
      </c>
      <c r="M415" s="3">
        <v>-0.11071779892325838</v>
      </c>
    </row>
    <row r="416" spans="11:13" x14ac:dyDescent="0.25">
      <c r="K416">
        <v>388</v>
      </c>
      <c r="L416" s="3">
        <v>0.05</v>
      </c>
      <c r="M416" s="3">
        <v>-0.11071779892325838</v>
      </c>
    </row>
    <row r="417" spans="11:13" x14ac:dyDescent="0.25">
      <c r="K417">
        <v>389</v>
      </c>
      <c r="L417" s="3">
        <v>0.05</v>
      </c>
      <c r="M417" s="3">
        <v>-0.11071779892325838</v>
      </c>
    </row>
    <row r="418" spans="11:13" x14ac:dyDescent="0.25">
      <c r="K418">
        <v>390</v>
      </c>
      <c r="L418" s="3">
        <v>0.05</v>
      </c>
      <c r="M418" s="3">
        <v>-0.11071779892325838</v>
      </c>
    </row>
    <row r="419" spans="11:13" x14ac:dyDescent="0.25">
      <c r="K419">
        <v>391</v>
      </c>
      <c r="L419" s="3">
        <v>0.05</v>
      </c>
      <c r="M419" s="3">
        <v>-0.11071779892325838</v>
      </c>
    </row>
    <row r="420" spans="11:13" x14ac:dyDescent="0.25">
      <c r="K420">
        <v>392</v>
      </c>
      <c r="L420" s="3">
        <v>0.05</v>
      </c>
      <c r="M420" s="3">
        <v>-0.11071779892325838</v>
      </c>
    </row>
    <row r="421" spans="11:13" x14ac:dyDescent="0.25">
      <c r="K421">
        <v>393</v>
      </c>
      <c r="L421" s="3">
        <v>0.05</v>
      </c>
      <c r="M421" s="3">
        <v>-0.11071779892325838</v>
      </c>
    </row>
    <row r="422" spans="11:13" x14ac:dyDescent="0.25">
      <c r="K422">
        <v>394</v>
      </c>
      <c r="L422" s="3">
        <v>0.05</v>
      </c>
      <c r="M422" s="3">
        <v>-0.11071779892325838</v>
      </c>
    </row>
    <row r="423" spans="11:13" x14ac:dyDescent="0.25">
      <c r="K423">
        <v>395</v>
      </c>
      <c r="L423" s="3">
        <v>0.05</v>
      </c>
      <c r="M423" s="3">
        <v>-0.11071779892325838</v>
      </c>
    </row>
    <row r="424" spans="11:13" x14ac:dyDescent="0.25">
      <c r="K424">
        <v>396</v>
      </c>
      <c r="L424" s="3">
        <v>0.05</v>
      </c>
      <c r="M424" s="3">
        <v>-0.11071779892325838</v>
      </c>
    </row>
    <row r="425" spans="11:13" x14ac:dyDescent="0.25">
      <c r="K425">
        <v>397</v>
      </c>
      <c r="L425" s="3">
        <v>0.05</v>
      </c>
      <c r="M425" s="3">
        <v>-0.11071779892325838</v>
      </c>
    </row>
    <row r="426" spans="11:13" x14ac:dyDescent="0.25">
      <c r="K426">
        <v>398</v>
      </c>
      <c r="L426" s="3">
        <v>0.05</v>
      </c>
      <c r="M426" s="3">
        <v>-0.11071779892325838</v>
      </c>
    </row>
    <row r="427" spans="11:13" x14ac:dyDescent="0.25">
      <c r="K427">
        <v>399</v>
      </c>
      <c r="L427" s="3">
        <v>0.05</v>
      </c>
      <c r="M427" s="3">
        <v>-0.11071779892325838</v>
      </c>
    </row>
    <row r="428" spans="11:13" x14ac:dyDescent="0.25">
      <c r="K428">
        <v>400</v>
      </c>
      <c r="L428" s="3">
        <v>0.05</v>
      </c>
      <c r="M428" s="3">
        <v>-0.11071779892325838</v>
      </c>
    </row>
    <row r="429" spans="11:13" x14ac:dyDescent="0.25">
      <c r="K429">
        <v>401</v>
      </c>
      <c r="L429" s="3">
        <v>0.05</v>
      </c>
      <c r="M429" s="3">
        <v>-0.11071779892325838</v>
      </c>
    </row>
    <row r="430" spans="11:13" x14ac:dyDescent="0.25">
      <c r="K430">
        <v>402</v>
      </c>
      <c r="L430" s="3">
        <v>0.05</v>
      </c>
      <c r="M430" s="3">
        <v>-0.11071779892325838</v>
      </c>
    </row>
    <row r="431" spans="11:13" x14ac:dyDescent="0.25">
      <c r="K431">
        <v>403</v>
      </c>
      <c r="L431" s="3">
        <v>0.05</v>
      </c>
      <c r="M431" s="3">
        <v>-0.11071779892325838</v>
      </c>
    </row>
    <row r="432" spans="11:13" x14ac:dyDescent="0.25">
      <c r="K432">
        <v>404</v>
      </c>
      <c r="L432" s="3">
        <v>0.05</v>
      </c>
      <c r="M432" s="3">
        <v>-0.11071779892325838</v>
      </c>
    </row>
    <row r="433" spans="11:13" x14ac:dyDescent="0.25">
      <c r="K433">
        <v>405</v>
      </c>
      <c r="L433" s="3">
        <v>0.05</v>
      </c>
      <c r="M433" s="3">
        <v>-0.11071779892325838</v>
      </c>
    </row>
    <row r="434" spans="11:13" x14ac:dyDescent="0.25">
      <c r="K434">
        <v>406</v>
      </c>
      <c r="L434" s="3">
        <v>0.05</v>
      </c>
      <c r="M434" s="3">
        <v>-0.11071779892325838</v>
      </c>
    </row>
    <row r="435" spans="11:13" x14ac:dyDescent="0.25">
      <c r="K435">
        <v>407</v>
      </c>
      <c r="L435" s="3">
        <v>0.05</v>
      </c>
      <c r="M435" s="3">
        <v>-0.11071779892325838</v>
      </c>
    </row>
    <row r="436" spans="11:13" x14ac:dyDescent="0.25">
      <c r="K436">
        <v>408</v>
      </c>
      <c r="L436" s="3">
        <v>0.05</v>
      </c>
      <c r="M436" s="3">
        <v>-0.11071779892325838</v>
      </c>
    </row>
    <row r="437" spans="11:13" x14ac:dyDescent="0.25">
      <c r="K437">
        <v>409</v>
      </c>
      <c r="L437" s="3">
        <v>0.05</v>
      </c>
      <c r="M437" s="3">
        <v>-0.11071779892325838</v>
      </c>
    </row>
    <row r="438" spans="11:13" x14ac:dyDescent="0.25">
      <c r="K438">
        <v>410</v>
      </c>
      <c r="L438" s="3">
        <v>0.05</v>
      </c>
      <c r="M438" s="3">
        <v>-0.11071779892325838</v>
      </c>
    </row>
    <row r="439" spans="11:13" x14ac:dyDescent="0.25">
      <c r="K439">
        <v>411</v>
      </c>
      <c r="L439" s="3">
        <v>0.05</v>
      </c>
      <c r="M439" s="3">
        <v>-0.11071779892325838</v>
      </c>
    </row>
    <row r="440" spans="11:13" x14ac:dyDescent="0.25">
      <c r="K440">
        <v>412</v>
      </c>
      <c r="L440" s="3">
        <v>0.05</v>
      </c>
      <c r="M440" s="3">
        <v>-0.11071779892325838</v>
      </c>
    </row>
    <row r="441" spans="11:13" x14ac:dyDescent="0.25">
      <c r="K441">
        <v>413</v>
      </c>
      <c r="L441" s="3">
        <v>0.05</v>
      </c>
      <c r="M441" s="3">
        <v>-0.11071779892325838</v>
      </c>
    </row>
    <row r="442" spans="11:13" x14ac:dyDescent="0.25">
      <c r="K442">
        <v>414</v>
      </c>
      <c r="L442" s="3">
        <v>0.05</v>
      </c>
      <c r="M442" s="3">
        <v>-0.11071779892325838</v>
      </c>
    </row>
    <row r="443" spans="11:13" x14ac:dyDescent="0.25">
      <c r="K443">
        <v>415</v>
      </c>
      <c r="L443" s="3">
        <v>0.05</v>
      </c>
      <c r="M443" s="3">
        <v>-0.11071779892325838</v>
      </c>
    </row>
    <row r="444" spans="11:13" x14ac:dyDescent="0.25">
      <c r="K444">
        <v>416</v>
      </c>
      <c r="L444" s="3">
        <v>0.05</v>
      </c>
      <c r="M444" s="3">
        <v>-0.11071779892325838</v>
      </c>
    </row>
    <row r="445" spans="11:13" x14ac:dyDescent="0.25">
      <c r="K445">
        <v>417</v>
      </c>
      <c r="L445" s="3">
        <v>0.05</v>
      </c>
      <c r="M445" s="3">
        <v>-0.11071779892325838</v>
      </c>
    </row>
    <row r="446" spans="11:13" x14ac:dyDescent="0.25">
      <c r="K446">
        <v>418</v>
      </c>
      <c r="L446" s="3">
        <v>0.05</v>
      </c>
      <c r="M446" s="3">
        <v>-0.11071779892325838</v>
      </c>
    </row>
    <row r="447" spans="11:13" x14ac:dyDescent="0.25">
      <c r="K447">
        <v>419</v>
      </c>
      <c r="L447" s="3">
        <v>0.05</v>
      </c>
      <c r="M447" s="3">
        <v>-0.11071779892325838</v>
      </c>
    </row>
    <row r="448" spans="11:13" x14ac:dyDescent="0.25">
      <c r="K448">
        <v>420</v>
      </c>
      <c r="L448" s="3">
        <v>0.05</v>
      </c>
      <c r="M448" s="3">
        <v>-0.11071779892325838</v>
      </c>
    </row>
    <row r="449" spans="11:13" x14ac:dyDescent="0.25">
      <c r="K449">
        <v>421</v>
      </c>
      <c r="L449" s="3">
        <v>0.05</v>
      </c>
      <c r="M449" s="3">
        <v>-0.11071779892325838</v>
      </c>
    </row>
    <row r="450" spans="11:13" x14ac:dyDescent="0.25">
      <c r="K450">
        <v>422</v>
      </c>
      <c r="L450" s="3">
        <v>0.05</v>
      </c>
      <c r="M450" s="3">
        <v>-0.11071779892325838</v>
      </c>
    </row>
    <row r="451" spans="11:13" x14ac:dyDescent="0.25">
      <c r="K451">
        <v>423</v>
      </c>
      <c r="L451" s="3">
        <v>0.05</v>
      </c>
      <c r="M451" s="3">
        <v>-0.11071779892325838</v>
      </c>
    </row>
    <row r="452" spans="11:13" x14ac:dyDescent="0.25">
      <c r="K452">
        <v>424</v>
      </c>
      <c r="L452" s="3">
        <v>0.05</v>
      </c>
      <c r="M452" s="3">
        <v>-0.11071779892325838</v>
      </c>
    </row>
    <row r="453" spans="11:13" x14ac:dyDescent="0.25">
      <c r="K453">
        <v>425</v>
      </c>
      <c r="L453" s="3">
        <v>0.05</v>
      </c>
      <c r="M453" s="3">
        <v>-0.11071779892325838</v>
      </c>
    </row>
    <row r="454" spans="11:13" x14ac:dyDescent="0.25">
      <c r="K454">
        <v>426</v>
      </c>
      <c r="L454" s="3">
        <v>0.05</v>
      </c>
      <c r="M454" s="3">
        <v>-0.11071779892325838</v>
      </c>
    </row>
    <row r="455" spans="11:13" x14ac:dyDescent="0.25">
      <c r="K455">
        <v>427</v>
      </c>
      <c r="L455" s="3">
        <v>0.05</v>
      </c>
      <c r="M455" s="3">
        <v>-0.11071779892325838</v>
      </c>
    </row>
    <row r="456" spans="11:13" x14ac:dyDescent="0.25">
      <c r="K456">
        <v>428</v>
      </c>
      <c r="L456" s="3">
        <v>0.05</v>
      </c>
      <c r="M456" s="3">
        <v>-0.11071779892325838</v>
      </c>
    </row>
    <row r="457" spans="11:13" x14ac:dyDescent="0.25">
      <c r="K457">
        <v>429</v>
      </c>
      <c r="L457" s="3">
        <v>0.05</v>
      </c>
      <c r="M457" s="3">
        <v>-0.11071779892325838</v>
      </c>
    </row>
    <row r="458" spans="11:13" x14ac:dyDescent="0.25">
      <c r="K458">
        <v>430</v>
      </c>
      <c r="L458" s="3">
        <v>0.05</v>
      </c>
      <c r="M458" s="3">
        <v>-0.11071779892325838</v>
      </c>
    </row>
    <row r="459" spans="11:13" x14ac:dyDescent="0.25">
      <c r="K459">
        <v>431</v>
      </c>
      <c r="L459" s="3">
        <v>0.05</v>
      </c>
      <c r="M459" s="3">
        <v>-0.11071779892325838</v>
      </c>
    </row>
    <row r="460" spans="11:13" x14ac:dyDescent="0.25">
      <c r="K460">
        <v>432</v>
      </c>
      <c r="L460" s="3">
        <v>0.05</v>
      </c>
      <c r="M460" s="3">
        <v>-0.11071779892325838</v>
      </c>
    </row>
    <row r="461" spans="11:13" x14ac:dyDescent="0.25">
      <c r="K461">
        <v>433</v>
      </c>
      <c r="L461" s="3">
        <v>0.05</v>
      </c>
      <c r="M461" s="3">
        <v>-0.11071779892325838</v>
      </c>
    </row>
    <row r="462" spans="11:13" x14ac:dyDescent="0.25">
      <c r="K462">
        <v>434</v>
      </c>
      <c r="L462" s="3">
        <v>0.05</v>
      </c>
      <c r="M462" s="3">
        <v>-0.11071779892325838</v>
      </c>
    </row>
    <row r="463" spans="11:13" x14ac:dyDescent="0.25">
      <c r="K463">
        <v>435</v>
      </c>
      <c r="L463" s="3">
        <v>0.05</v>
      </c>
      <c r="M463" s="3">
        <v>-0.11071779892325838</v>
      </c>
    </row>
    <row r="464" spans="11:13" x14ac:dyDescent="0.25">
      <c r="K464">
        <v>436</v>
      </c>
      <c r="L464" s="3">
        <v>0.05</v>
      </c>
      <c r="M464" s="3">
        <v>-0.11071779892325838</v>
      </c>
    </row>
    <row r="465" spans="11:13" x14ac:dyDescent="0.25">
      <c r="K465">
        <v>437</v>
      </c>
      <c r="L465" s="3">
        <v>0.05</v>
      </c>
      <c r="M465" s="3">
        <v>-0.11071779892325838</v>
      </c>
    </row>
    <row r="466" spans="11:13" x14ac:dyDescent="0.25">
      <c r="K466">
        <v>438</v>
      </c>
      <c r="L466" s="3">
        <v>0.05</v>
      </c>
      <c r="M466" s="3">
        <v>-0.11071779892325838</v>
      </c>
    </row>
    <row r="467" spans="11:13" x14ac:dyDescent="0.25">
      <c r="K467">
        <v>439</v>
      </c>
      <c r="L467" s="3">
        <v>0.05</v>
      </c>
      <c r="M467" s="3">
        <v>-0.11071779892325838</v>
      </c>
    </row>
    <row r="468" spans="11:13" x14ac:dyDescent="0.25">
      <c r="K468">
        <v>440</v>
      </c>
      <c r="L468" s="3">
        <v>0.05</v>
      </c>
      <c r="M468" s="3">
        <v>-0.11071779892325838</v>
      </c>
    </row>
    <row r="469" spans="11:13" x14ac:dyDescent="0.25">
      <c r="K469">
        <v>441</v>
      </c>
      <c r="L469" s="3">
        <v>0.05</v>
      </c>
      <c r="M469" s="3">
        <v>-0.11071779892325838</v>
      </c>
    </row>
    <row r="470" spans="11:13" x14ac:dyDescent="0.25">
      <c r="K470">
        <v>442</v>
      </c>
      <c r="L470" s="3">
        <v>0.05</v>
      </c>
      <c r="M470" s="3">
        <v>-0.11071779892325838</v>
      </c>
    </row>
    <row r="471" spans="11:13" x14ac:dyDescent="0.25">
      <c r="K471">
        <v>443</v>
      </c>
      <c r="L471" s="3">
        <v>0.05</v>
      </c>
      <c r="M471" s="3">
        <v>-0.11071779892325838</v>
      </c>
    </row>
    <row r="472" spans="11:13" x14ac:dyDescent="0.25">
      <c r="K472">
        <v>444</v>
      </c>
      <c r="L472" s="3">
        <v>0.05</v>
      </c>
      <c r="M472" s="3">
        <v>-0.11071779892325838</v>
      </c>
    </row>
    <row r="473" spans="11:13" x14ac:dyDescent="0.25">
      <c r="K473">
        <v>445</v>
      </c>
      <c r="L473" s="3">
        <v>0.05</v>
      </c>
      <c r="M473" s="3">
        <v>-0.11071779892325838</v>
      </c>
    </row>
    <row r="474" spans="11:13" x14ac:dyDescent="0.25">
      <c r="K474">
        <v>446</v>
      </c>
      <c r="L474" s="3">
        <v>0.05</v>
      </c>
      <c r="M474" s="3">
        <v>-0.11071779892325838</v>
      </c>
    </row>
    <row r="475" spans="11:13" x14ac:dyDescent="0.25">
      <c r="K475">
        <v>447</v>
      </c>
      <c r="L475" s="3">
        <v>0.05</v>
      </c>
      <c r="M475" s="3">
        <v>-0.11071779892325838</v>
      </c>
    </row>
    <row r="476" spans="11:13" x14ac:dyDescent="0.25">
      <c r="K476">
        <v>448</v>
      </c>
      <c r="L476" s="3">
        <v>0.05</v>
      </c>
      <c r="M476" s="3">
        <v>-0.11071779892325838</v>
      </c>
    </row>
    <row r="477" spans="11:13" x14ac:dyDescent="0.25">
      <c r="K477">
        <v>449</v>
      </c>
      <c r="L477" s="3">
        <v>0.05</v>
      </c>
      <c r="M477" s="3">
        <v>-0.11071779892325838</v>
      </c>
    </row>
    <row r="478" spans="11:13" x14ac:dyDescent="0.25">
      <c r="K478">
        <v>450</v>
      </c>
      <c r="L478" s="3">
        <v>0.05</v>
      </c>
      <c r="M478" s="3">
        <v>-0.11071779892325838</v>
      </c>
    </row>
    <row r="479" spans="11:13" x14ac:dyDescent="0.25">
      <c r="K479">
        <v>451</v>
      </c>
      <c r="L479" s="3">
        <v>0.05</v>
      </c>
      <c r="M479" s="3">
        <v>-0.11071779892325838</v>
      </c>
    </row>
    <row r="480" spans="11:13" x14ac:dyDescent="0.25">
      <c r="K480">
        <v>452</v>
      </c>
      <c r="L480" s="3">
        <v>0.05</v>
      </c>
      <c r="M480" s="3">
        <v>-0.11071779892325838</v>
      </c>
    </row>
    <row r="481" spans="11:13" x14ac:dyDescent="0.25">
      <c r="K481">
        <v>453</v>
      </c>
      <c r="L481" s="3">
        <v>0.05</v>
      </c>
      <c r="M481" s="3">
        <v>-0.11071779892325838</v>
      </c>
    </row>
    <row r="482" spans="11:13" x14ac:dyDescent="0.25">
      <c r="K482">
        <v>454</v>
      </c>
      <c r="L482" s="3">
        <v>0.05</v>
      </c>
      <c r="M482" s="3">
        <v>-0.11071779892325838</v>
      </c>
    </row>
    <row r="483" spans="11:13" x14ac:dyDescent="0.25">
      <c r="K483">
        <v>455</v>
      </c>
      <c r="L483" s="3">
        <v>0.05</v>
      </c>
      <c r="M483" s="3">
        <v>-0.11071779892325838</v>
      </c>
    </row>
    <row r="484" spans="11:13" x14ac:dyDescent="0.25">
      <c r="K484">
        <v>456</v>
      </c>
      <c r="L484" s="3">
        <v>0.05</v>
      </c>
      <c r="M484" s="3">
        <v>-0.11071779892325838</v>
      </c>
    </row>
    <row r="485" spans="11:13" x14ac:dyDescent="0.25">
      <c r="K485">
        <v>457</v>
      </c>
      <c r="L485" s="3">
        <v>0.05</v>
      </c>
      <c r="M485" s="3">
        <v>-0.11071779892325838</v>
      </c>
    </row>
    <row r="486" spans="11:13" x14ac:dyDescent="0.25">
      <c r="K486">
        <v>458</v>
      </c>
      <c r="L486" s="3">
        <v>0.05</v>
      </c>
      <c r="M486" s="3">
        <v>-0.11071779892325838</v>
      </c>
    </row>
    <row r="487" spans="11:13" x14ac:dyDescent="0.25">
      <c r="K487">
        <v>459</v>
      </c>
      <c r="L487" s="3">
        <v>0.05</v>
      </c>
      <c r="M487" s="3">
        <v>-0.11071779892325838</v>
      </c>
    </row>
    <row r="488" spans="11:13" x14ac:dyDescent="0.25">
      <c r="K488">
        <v>460</v>
      </c>
      <c r="L488" s="3">
        <v>0.05</v>
      </c>
      <c r="M488" s="3">
        <v>-0.11071779892325838</v>
      </c>
    </row>
    <row r="489" spans="11:13" x14ac:dyDescent="0.25">
      <c r="K489">
        <v>461</v>
      </c>
      <c r="L489" s="3">
        <v>0.05</v>
      </c>
      <c r="M489" s="3">
        <v>-0.11071779892325838</v>
      </c>
    </row>
    <row r="490" spans="11:13" x14ac:dyDescent="0.25">
      <c r="K490">
        <v>462</v>
      </c>
      <c r="L490" s="3">
        <v>0.05</v>
      </c>
      <c r="M490" s="3">
        <v>-0.11071779892325838</v>
      </c>
    </row>
    <row r="491" spans="11:13" x14ac:dyDescent="0.25">
      <c r="K491">
        <v>463</v>
      </c>
      <c r="L491" s="3">
        <v>0.05</v>
      </c>
      <c r="M491" s="3">
        <v>-0.11071779892325838</v>
      </c>
    </row>
    <row r="492" spans="11:13" x14ac:dyDescent="0.25">
      <c r="K492">
        <v>464</v>
      </c>
      <c r="L492" s="3">
        <v>0.05</v>
      </c>
      <c r="M492" s="3">
        <v>-0.11071779892325838</v>
      </c>
    </row>
    <row r="493" spans="11:13" x14ac:dyDescent="0.25">
      <c r="K493">
        <v>465</v>
      </c>
      <c r="L493" s="3">
        <v>0.05</v>
      </c>
      <c r="M493" s="3">
        <v>-0.11071779892325838</v>
      </c>
    </row>
    <row r="494" spans="11:13" x14ac:dyDescent="0.25">
      <c r="K494">
        <v>466</v>
      </c>
      <c r="L494" s="3">
        <v>0.05</v>
      </c>
      <c r="M494" s="3">
        <v>-0.11071779892325838</v>
      </c>
    </row>
    <row r="495" spans="11:13" x14ac:dyDescent="0.25">
      <c r="K495">
        <v>467</v>
      </c>
      <c r="L495" s="3">
        <v>0.05</v>
      </c>
      <c r="M495" s="3">
        <v>-0.11071779892325838</v>
      </c>
    </row>
    <row r="496" spans="11:13" x14ac:dyDescent="0.25">
      <c r="K496">
        <v>468</v>
      </c>
      <c r="L496" s="3">
        <v>0.05</v>
      </c>
      <c r="M496" s="3">
        <v>-0.11071779892325838</v>
      </c>
    </row>
    <row r="497" spans="11:13" x14ac:dyDescent="0.25">
      <c r="K497">
        <v>469</v>
      </c>
      <c r="L497" s="3">
        <v>0.05</v>
      </c>
      <c r="M497" s="3">
        <v>-0.11071779892325838</v>
      </c>
    </row>
    <row r="498" spans="11:13" x14ac:dyDescent="0.25">
      <c r="K498">
        <v>470</v>
      </c>
      <c r="L498" s="3">
        <v>0.05</v>
      </c>
      <c r="M498" s="3">
        <v>-0.11071779892325838</v>
      </c>
    </row>
    <row r="499" spans="11:13" x14ac:dyDescent="0.25">
      <c r="K499">
        <v>471</v>
      </c>
      <c r="L499" s="3">
        <v>0.05</v>
      </c>
      <c r="M499" s="3">
        <v>-0.11071779892325838</v>
      </c>
    </row>
    <row r="500" spans="11:13" x14ac:dyDescent="0.25">
      <c r="K500">
        <v>472</v>
      </c>
      <c r="L500" s="3">
        <v>0.05</v>
      </c>
      <c r="M500" s="3">
        <v>-0.11071779892325838</v>
      </c>
    </row>
    <row r="501" spans="11:13" x14ac:dyDescent="0.25">
      <c r="K501">
        <v>473</v>
      </c>
      <c r="L501" s="3">
        <v>0.05</v>
      </c>
      <c r="M501" s="3">
        <v>-0.11071779892325838</v>
      </c>
    </row>
    <row r="502" spans="11:13" x14ac:dyDescent="0.25">
      <c r="K502">
        <v>474</v>
      </c>
      <c r="L502" s="3">
        <v>0.05</v>
      </c>
      <c r="M502" s="3">
        <v>-0.11071779892325838</v>
      </c>
    </row>
    <row r="503" spans="11:13" x14ac:dyDescent="0.25">
      <c r="K503">
        <v>475</v>
      </c>
      <c r="L503" s="3">
        <v>0.05</v>
      </c>
      <c r="M503" s="3">
        <v>-0.11071779892325838</v>
      </c>
    </row>
    <row r="504" spans="11:13" x14ac:dyDescent="0.25">
      <c r="K504">
        <v>476</v>
      </c>
      <c r="L504" s="3">
        <v>0.05</v>
      </c>
      <c r="M504" s="3">
        <v>-0.11071779892325838</v>
      </c>
    </row>
    <row r="505" spans="11:13" x14ac:dyDescent="0.25">
      <c r="K505">
        <v>477</v>
      </c>
      <c r="L505" s="3">
        <v>0.05</v>
      </c>
      <c r="M505" s="3">
        <v>-0.11071779892325838</v>
      </c>
    </row>
    <row r="506" spans="11:13" x14ac:dyDescent="0.25">
      <c r="K506">
        <v>478</v>
      </c>
      <c r="L506" s="3">
        <v>0.05</v>
      </c>
      <c r="M506" s="3">
        <v>-0.11071779892325838</v>
      </c>
    </row>
    <row r="507" spans="11:13" x14ac:dyDescent="0.25">
      <c r="K507">
        <v>479</v>
      </c>
      <c r="L507" s="3">
        <v>0.05</v>
      </c>
      <c r="M507" s="3">
        <v>-0.11071779892325838</v>
      </c>
    </row>
    <row r="508" spans="11:13" x14ac:dyDescent="0.25">
      <c r="K508">
        <v>480</v>
      </c>
      <c r="L508" s="3">
        <v>0.05</v>
      </c>
      <c r="M508" s="3">
        <v>-0.11071779892325838</v>
      </c>
    </row>
    <row r="509" spans="11:13" x14ac:dyDescent="0.25">
      <c r="K509">
        <v>481</v>
      </c>
      <c r="L509" s="3">
        <v>0.05</v>
      </c>
      <c r="M509" s="3">
        <v>-0.11071779892325838</v>
      </c>
    </row>
    <row r="510" spans="11:13" x14ac:dyDescent="0.25">
      <c r="K510">
        <v>482</v>
      </c>
      <c r="L510" s="3">
        <v>0.05</v>
      </c>
      <c r="M510" s="3">
        <v>-0.11071779892325838</v>
      </c>
    </row>
    <row r="511" spans="11:13" x14ac:dyDescent="0.25">
      <c r="K511">
        <v>483</v>
      </c>
      <c r="L511" s="3">
        <v>0.05</v>
      </c>
      <c r="M511" s="3">
        <v>-0.11071779892325838</v>
      </c>
    </row>
    <row r="512" spans="11:13" x14ac:dyDescent="0.25">
      <c r="K512">
        <v>484</v>
      </c>
      <c r="L512" s="3">
        <v>0.05</v>
      </c>
      <c r="M512" s="3">
        <v>-0.11071779892325838</v>
      </c>
    </row>
    <row r="513" spans="11:13" x14ac:dyDescent="0.25">
      <c r="K513">
        <v>485</v>
      </c>
      <c r="L513" s="3">
        <v>0.05</v>
      </c>
      <c r="M513" s="3">
        <v>-0.11071779892325838</v>
      </c>
    </row>
    <row r="514" spans="11:13" x14ac:dyDescent="0.25">
      <c r="K514">
        <v>486</v>
      </c>
      <c r="L514" s="3">
        <v>0.05</v>
      </c>
      <c r="M514" s="3">
        <v>-0.11071779892325838</v>
      </c>
    </row>
    <row r="515" spans="11:13" x14ac:dyDescent="0.25">
      <c r="K515">
        <v>487</v>
      </c>
      <c r="L515" s="3">
        <v>0.05</v>
      </c>
      <c r="M515" s="3">
        <v>-0.11071779892325838</v>
      </c>
    </row>
    <row r="516" spans="11:13" x14ac:dyDescent="0.25">
      <c r="K516">
        <v>488</v>
      </c>
      <c r="L516" s="3">
        <v>0.05</v>
      </c>
      <c r="M516" s="3">
        <v>-0.11071779892325838</v>
      </c>
    </row>
    <row r="517" spans="11:13" x14ac:dyDescent="0.25">
      <c r="K517">
        <v>489</v>
      </c>
      <c r="L517" s="3">
        <v>0.05</v>
      </c>
      <c r="M517" s="3">
        <v>-0.11071779892325838</v>
      </c>
    </row>
    <row r="518" spans="11:13" x14ac:dyDescent="0.25">
      <c r="K518">
        <v>490</v>
      </c>
      <c r="L518" s="3">
        <v>0.05</v>
      </c>
      <c r="M518" s="3">
        <v>-0.11071779892325838</v>
      </c>
    </row>
    <row r="519" spans="11:13" x14ac:dyDescent="0.25">
      <c r="K519">
        <v>491</v>
      </c>
      <c r="L519" s="3">
        <v>0.05</v>
      </c>
      <c r="M519" s="3">
        <v>-0.11071779892325838</v>
      </c>
    </row>
    <row r="520" spans="11:13" x14ac:dyDescent="0.25">
      <c r="K520">
        <v>492</v>
      </c>
      <c r="L520" s="3">
        <v>0.05</v>
      </c>
      <c r="M520" s="3">
        <v>-0.11071779892325838</v>
      </c>
    </row>
    <row r="521" spans="11:13" x14ac:dyDescent="0.25">
      <c r="K521">
        <v>493</v>
      </c>
      <c r="L521" s="3">
        <v>0.05</v>
      </c>
      <c r="M521" s="3">
        <v>-0.11071779892325838</v>
      </c>
    </row>
    <row r="522" spans="11:13" x14ac:dyDescent="0.25">
      <c r="K522">
        <v>494</v>
      </c>
      <c r="L522" s="3">
        <v>0.05</v>
      </c>
      <c r="M522" s="3">
        <v>-0.11071779892325838</v>
      </c>
    </row>
    <row r="523" spans="11:13" x14ac:dyDescent="0.25">
      <c r="K523">
        <v>495</v>
      </c>
      <c r="L523" s="3">
        <v>0.05</v>
      </c>
      <c r="M523" s="3">
        <v>-0.11071779892325838</v>
      </c>
    </row>
    <row r="524" spans="11:13" x14ac:dyDescent="0.25">
      <c r="K524">
        <v>496</v>
      </c>
      <c r="L524" s="3">
        <v>0.05</v>
      </c>
      <c r="M524" s="3">
        <v>-0.11071779892325838</v>
      </c>
    </row>
    <row r="525" spans="11:13" x14ac:dyDescent="0.25">
      <c r="K525">
        <v>497</v>
      </c>
      <c r="L525" s="3">
        <v>0.05</v>
      </c>
      <c r="M525" s="3">
        <v>-0.11071779892325838</v>
      </c>
    </row>
    <row r="526" spans="11:13" x14ac:dyDescent="0.25">
      <c r="K526">
        <v>498</v>
      </c>
      <c r="L526" s="3">
        <v>0.05</v>
      </c>
      <c r="M526" s="3">
        <v>-0.11071779892325838</v>
      </c>
    </row>
    <row r="527" spans="11:13" x14ac:dyDescent="0.25">
      <c r="K527">
        <v>499</v>
      </c>
      <c r="L527" s="3">
        <v>0.05</v>
      </c>
      <c r="M527" s="3">
        <v>-0.11071779892325838</v>
      </c>
    </row>
    <row r="528" spans="11:13" x14ac:dyDescent="0.25">
      <c r="K528">
        <v>500</v>
      </c>
      <c r="L528" s="3">
        <v>0.05</v>
      </c>
      <c r="M528" s="3">
        <v>-0.11071779892325838</v>
      </c>
    </row>
    <row r="529" spans="11:13" x14ac:dyDescent="0.25">
      <c r="K529">
        <v>501</v>
      </c>
      <c r="L529" s="3">
        <v>0.05</v>
      </c>
      <c r="M529" s="3">
        <v>-0.11071779892325838</v>
      </c>
    </row>
    <row r="530" spans="11:13" x14ac:dyDescent="0.25">
      <c r="K530">
        <v>502</v>
      </c>
      <c r="L530" s="3">
        <v>0.05</v>
      </c>
      <c r="M530" s="3">
        <v>-0.11071779892325838</v>
      </c>
    </row>
    <row r="531" spans="11:13" x14ac:dyDescent="0.25">
      <c r="K531">
        <v>503</v>
      </c>
      <c r="L531" s="3">
        <v>0.05</v>
      </c>
      <c r="M531" s="3">
        <v>-0.11071779892325838</v>
      </c>
    </row>
    <row r="532" spans="11:13" x14ac:dyDescent="0.25">
      <c r="K532">
        <v>504</v>
      </c>
      <c r="L532" s="3">
        <v>0.05</v>
      </c>
      <c r="M532" s="3">
        <v>-0.11071779892325838</v>
      </c>
    </row>
    <row r="533" spans="11:13" x14ac:dyDescent="0.25">
      <c r="K533">
        <v>505</v>
      </c>
      <c r="L533" s="3">
        <v>0.05</v>
      </c>
      <c r="M533" s="3">
        <v>-0.11071779892325838</v>
      </c>
    </row>
    <row r="534" spans="11:13" x14ac:dyDescent="0.25">
      <c r="K534">
        <v>506</v>
      </c>
      <c r="L534" s="3">
        <v>0.05</v>
      </c>
      <c r="M534" s="3">
        <v>-0.11071779892325838</v>
      </c>
    </row>
    <row r="535" spans="11:13" x14ac:dyDescent="0.25">
      <c r="K535">
        <v>507</v>
      </c>
      <c r="L535" s="3">
        <v>0.05</v>
      </c>
      <c r="M535" s="3">
        <v>-0.11071779892325838</v>
      </c>
    </row>
    <row r="536" spans="11:13" x14ac:dyDescent="0.25">
      <c r="K536">
        <v>508</v>
      </c>
      <c r="L536" s="3">
        <v>0.05</v>
      </c>
      <c r="M536" s="3">
        <v>-0.11071779892325838</v>
      </c>
    </row>
    <row r="537" spans="11:13" x14ac:dyDescent="0.25">
      <c r="K537">
        <v>509</v>
      </c>
      <c r="L537" s="3">
        <v>0.05</v>
      </c>
      <c r="M537" s="3">
        <v>-0.11071779892325838</v>
      </c>
    </row>
    <row r="538" spans="11:13" x14ac:dyDescent="0.25">
      <c r="K538">
        <v>510</v>
      </c>
      <c r="L538" s="3">
        <v>0.05</v>
      </c>
      <c r="M538" s="3">
        <v>-0.11071779892325838</v>
      </c>
    </row>
    <row r="539" spans="11:13" x14ac:dyDescent="0.25">
      <c r="K539">
        <v>511</v>
      </c>
      <c r="L539" s="3">
        <v>0.05</v>
      </c>
      <c r="M539" s="3">
        <v>-0.11071779892325838</v>
      </c>
    </row>
    <row r="540" spans="11:13" x14ac:dyDescent="0.25">
      <c r="K540">
        <v>512</v>
      </c>
      <c r="L540" s="3">
        <v>0.05</v>
      </c>
      <c r="M540" s="3">
        <v>-0.11071779892325838</v>
      </c>
    </row>
    <row r="541" spans="11:13" x14ac:dyDescent="0.25">
      <c r="K541">
        <v>513</v>
      </c>
      <c r="L541" s="3">
        <v>0.05</v>
      </c>
      <c r="M541" s="3">
        <v>-0.11071779892325838</v>
      </c>
    </row>
    <row r="542" spans="11:13" x14ac:dyDescent="0.25">
      <c r="K542">
        <v>514</v>
      </c>
      <c r="L542" s="3">
        <v>0.05</v>
      </c>
      <c r="M542" s="3">
        <v>-0.11071779892325838</v>
      </c>
    </row>
    <row r="543" spans="11:13" x14ac:dyDescent="0.25">
      <c r="K543">
        <v>515</v>
      </c>
      <c r="L543" s="3">
        <v>0.05</v>
      </c>
      <c r="M543" s="3">
        <v>-0.11071779892325838</v>
      </c>
    </row>
    <row r="544" spans="11:13" x14ac:dyDescent="0.25">
      <c r="K544">
        <v>516</v>
      </c>
      <c r="L544" s="3">
        <v>0.05</v>
      </c>
      <c r="M544" s="3">
        <v>-0.11071779892325838</v>
      </c>
    </row>
    <row r="545" spans="11:13" x14ac:dyDescent="0.25">
      <c r="K545">
        <v>517</v>
      </c>
      <c r="L545" s="3">
        <v>0.05</v>
      </c>
      <c r="M545" s="3">
        <v>-0.11071779892325838</v>
      </c>
    </row>
    <row r="546" spans="11:13" x14ac:dyDescent="0.25">
      <c r="K546">
        <v>518</v>
      </c>
      <c r="L546" s="3">
        <v>0.05</v>
      </c>
      <c r="M546" s="3">
        <v>-0.11071779892325838</v>
      </c>
    </row>
    <row r="547" spans="11:13" x14ac:dyDescent="0.25">
      <c r="K547">
        <v>519</v>
      </c>
      <c r="L547" s="3">
        <v>0.05</v>
      </c>
      <c r="M547" s="3">
        <v>-0.11071779892325838</v>
      </c>
    </row>
    <row r="548" spans="11:13" x14ac:dyDescent="0.25">
      <c r="K548">
        <v>520</v>
      </c>
      <c r="L548" s="3">
        <v>0.05</v>
      </c>
      <c r="M548" s="3">
        <v>-0.11071779892325838</v>
      </c>
    </row>
    <row r="549" spans="11:13" x14ac:dyDescent="0.25">
      <c r="K549">
        <v>521</v>
      </c>
      <c r="L549" s="3">
        <v>0.05</v>
      </c>
      <c r="M549" s="3">
        <v>-0.11071779892325838</v>
      </c>
    </row>
    <row r="550" spans="11:13" x14ac:dyDescent="0.25">
      <c r="K550">
        <v>522</v>
      </c>
      <c r="L550" s="3">
        <v>0.05</v>
      </c>
      <c r="M550" s="3">
        <v>-0.11071779892325838</v>
      </c>
    </row>
    <row r="551" spans="11:13" x14ac:dyDescent="0.25">
      <c r="K551">
        <v>523</v>
      </c>
      <c r="L551" s="3">
        <v>0.05</v>
      </c>
      <c r="M551" s="3">
        <v>-0.11071779892325838</v>
      </c>
    </row>
    <row r="552" spans="11:13" x14ac:dyDescent="0.25">
      <c r="K552">
        <v>524</v>
      </c>
      <c r="L552" s="3">
        <v>0.05</v>
      </c>
      <c r="M552" s="3">
        <v>-0.11071779892325838</v>
      </c>
    </row>
    <row r="553" spans="11:13" x14ac:dyDescent="0.25">
      <c r="K553">
        <v>525</v>
      </c>
      <c r="L553" s="3">
        <v>0.05</v>
      </c>
      <c r="M553" s="3">
        <v>-0.11071779892325838</v>
      </c>
    </row>
    <row r="554" spans="11:13" x14ac:dyDescent="0.25">
      <c r="K554">
        <v>526</v>
      </c>
      <c r="L554" s="3">
        <v>0.05</v>
      </c>
      <c r="M554" s="3">
        <v>-0.11071779892325838</v>
      </c>
    </row>
    <row r="555" spans="11:13" x14ac:dyDescent="0.25">
      <c r="K555">
        <v>527</v>
      </c>
      <c r="L555" s="3">
        <v>0.05</v>
      </c>
      <c r="M555" s="3">
        <v>-0.11071779892325838</v>
      </c>
    </row>
    <row r="556" spans="11:13" x14ac:dyDescent="0.25">
      <c r="K556">
        <v>528</v>
      </c>
      <c r="L556" s="3">
        <v>0.05</v>
      </c>
      <c r="M556" s="3">
        <v>-0.11071779892325838</v>
      </c>
    </row>
    <row r="557" spans="11:13" x14ac:dyDescent="0.25">
      <c r="K557">
        <v>529</v>
      </c>
      <c r="L557" s="3">
        <v>0.05</v>
      </c>
      <c r="M557" s="3">
        <v>-0.11071779892325838</v>
      </c>
    </row>
    <row r="558" spans="11:13" x14ac:dyDescent="0.25">
      <c r="K558">
        <v>530</v>
      </c>
      <c r="L558" s="3">
        <v>0.05</v>
      </c>
      <c r="M558" s="3">
        <v>-0.11071779892325838</v>
      </c>
    </row>
    <row r="559" spans="11:13" x14ac:dyDescent="0.25">
      <c r="K559">
        <v>531</v>
      </c>
      <c r="L559" s="3">
        <v>0.05</v>
      </c>
      <c r="M559" s="3">
        <v>-0.11071779892325838</v>
      </c>
    </row>
    <row r="560" spans="11:13" x14ac:dyDescent="0.25">
      <c r="K560">
        <v>532</v>
      </c>
      <c r="L560" s="3">
        <v>0.05</v>
      </c>
      <c r="M560" s="3">
        <v>-0.11071779892325838</v>
      </c>
    </row>
    <row r="561" spans="11:13" x14ac:dyDescent="0.25">
      <c r="K561">
        <v>533</v>
      </c>
      <c r="L561" s="3">
        <v>0.05</v>
      </c>
      <c r="M561" s="3">
        <v>-0.11071779892325838</v>
      </c>
    </row>
    <row r="562" spans="11:13" x14ac:dyDescent="0.25">
      <c r="K562">
        <v>534</v>
      </c>
      <c r="L562" s="3">
        <v>0.05</v>
      </c>
      <c r="M562" s="3">
        <v>-0.11071779892325838</v>
      </c>
    </row>
    <row r="563" spans="11:13" x14ac:dyDescent="0.25">
      <c r="K563">
        <v>535</v>
      </c>
      <c r="L563" s="3">
        <v>0.05</v>
      </c>
      <c r="M563" s="3">
        <v>-0.11071779892325838</v>
      </c>
    </row>
    <row r="564" spans="11:13" x14ac:dyDescent="0.25">
      <c r="K564">
        <v>536</v>
      </c>
      <c r="L564" s="3">
        <v>0.05</v>
      </c>
      <c r="M564" s="3">
        <v>-0.11071779892325838</v>
      </c>
    </row>
    <row r="565" spans="11:13" x14ac:dyDescent="0.25">
      <c r="K565">
        <v>537</v>
      </c>
      <c r="L565" s="3">
        <v>0.05</v>
      </c>
      <c r="M565" s="3">
        <v>-0.11071779892325838</v>
      </c>
    </row>
    <row r="566" spans="11:13" x14ac:dyDescent="0.25">
      <c r="K566">
        <v>538</v>
      </c>
      <c r="L566" s="3">
        <v>0.05</v>
      </c>
      <c r="M566" s="3">
        <v>-0.11071779892325838</v>
      </c>
    </row>
    <row r="567" spans="11:13" x14ac:dyDescent="0.25">
      <c r="K567">
        <v>539</v>
      </c>
      <c r="L567" s="3">
        <v>0.05</v>
      </c>
      <c r="M567" s="3">
        <v>-0.11071779892325838</v>
      </c>
    </row>
    <row r="568" spans="11:13" x14ac:dyDescent="0.25">
      <c r="K568">
        <v>540</v>
      </c>
      <c r="L568" s="3">
        <v>0.05</v>
      </c>
      <c r="M568" s="3">
        <v>-0.11071779892325838</v>
      </c>
    </row>
    <row r="569" spans="11:13" x14ac:dyDescent="0.25">
      <c r="K569">
        <v>541</v>
      </c>
      <c r="L569" s="3">
        <v>0.05</v>
      </c>
      <c r="M569" s="3">
        <v>-0.11071779892325838</v>
      </c>
    </row>
    <row r="570" spans="11:13" x14ac:dyDescent="0.25">
      <c r="K570">
        <v>542</v>
      </c>
      <c r="L570" s="3">
        <v>0.05</v>
      </c>
      <c r="M570" s="3">
        <v>-0.11071779892325838</v>
      </c>
    </row>
    <row r="571" spans="11:13" x14ac:dyDescent="0.25">
      <c r="K571">
        <v>543</v>
      </c>
      <c r="L571" s="3">
        <v>0.05</v>
      </c>
      <c r="M571" s="3">
        <v>-0.11071779892325838</v>
      </c>
    </row>
    <row r="572" spans="11:13" x14ac:dyDescent="0.25">
      <c r="K572">
        <v>544</v>
      </c>
      <c r="L572" s="3">
        <v>0.05</v>
      </c>
      <c r="M572" s="3">
        <v>-0.11071779892325838</v>
      </c>
    </row>
    <row r="573" spans="11:13" x14ac:dyDescent="0.25">
      <c r="K573">
        <v>545</v>
      </c>
      <c r="L573" s="3">
        <v>0.05</v>
      </c>
      <c r="M573" s="3">
        <v>-0.11071779892325838</v>
      </c>
    </row>
    <row r="574" spans="11:13" x14ac:dyDescent="0.25">
      <c r="K574">
        <v>546</v>
      </c>
      <c r="L574" s="3">
        <v>0.05</v>
      </c>
      <c r="M574" s="3">
        <v>-0.11071779892325838</v>
      </c>
    </row>
    <row r="575" spans="11:13" x14ac:dyDescent="0.25">
      <c r="K575">
        <v>547</v>
      </c>
      <c r="L575" s="3">
        <v>0.05</v>
      </c>
      <c r="M575" s="3">
        <v>-0.11071779892325838</v>
      </c>
    </row>
    <row r="576" spans="11:13" x14ac:dyDescent="0.25">
      <c r="K576">
        <v>548</v>
      </c>
      <c r="L576" s="3">
        <v>0.05</v>
      </c>
      <c r="M576" s="3">
        <v>-0.11071779892325838</v>
      </c>
    </row>
    <row r="577" spans="11:13" x14ac:dyDescent="0.25">
      <c r="K577">
        <v>549</v>
      </c>
      <c r="L577" s="3">
        <v>0.05</v>
      </c>
      <c r="M577" s="3">
        <v>-0.11071779892325838</v>
      </c>
    </row>
    <row r="578" spans="11:13" x14ac:dyDescent="0.25">
      <c r="K578">
        <v>550</v>
      </c>
      <c r="L578" s="3">
        <v>0.05</v>
      </c>
      <c r="M578" s="3">
        <v>-0.11071779892325838</v>
      </c>
    </row>
    <row r="579" spans="11:13" x14ac:dyDescent="0.25">
      <c r="K579">
        <v>551</v>
      </c>
      <c r="L579" s="3">
        <v>0.05</v>
      </c>
      <c r="M579" s="3">
        <v>-0.11071779892325838</v>
      </c>
    </row>
    <row r="580" spans="11:13" x14ac:dyDescent="0.25">
      <c r="K580">
        <v>552</v>
      </c>
      <c r="L580" s="3">
        <v>0.05</v>
      </c>
      <c r="M580" s="3">
        <v>-0.11071779892325838</v>
      </c>
    </row>
    <row r="581" spans="11:13" x14ac:dyDescent="0.25">
      <c r="K581">
        <v>553</v>
      </c>
      <c r="L581" s="3">
        <v>0.05</v>
      </c>
      <c r="M581" s="3">
        <v>-0.11071779892325838</v>
      </c>
    </row>
    <row r="582" spans="11:13" x14ac:dyDescent="0.25">
      <c r="K582">
        <v>554</v>
      </c>
      <c r="L582" s="3">
        <v>0.05</v>
      </c>
      <c r="M582" s="3">
        <v>-0.11071779892325838</v>
      </c>
    </row>
    <row r="583" spans="11:13" x14ac:dyDescent="0.25">
      <c r="K583">
        <v>555</v>
      </c>
      <c r="L583" s="3">
        <v>0.05</v>
      </c>
      <c r="M583" s="3">
        <v>-0.11071779892325838</v>
      </c>
    </row>
    <row r="584" spans="11:13" x14ac:dyDescent="0.25">
      <c r="K584">
        <v>556</v>
      </c>
      <c r="L584" s="3">
        <v>0.05</v>
      </c>
      <c r="M584" s="3">
        <v>-0.11071779892325838</v>
      </c>
    </row>
    <row r="585" spans="11:13" x14ac:dyDescent="0.25">
      <c r="K585">
        <v>557</v>
      </c>
      <c r="L585" s="3">
        <v>0.05</v>
      </c>
      <c r="M585" s="3">
        <v>-0.11071779892325838</v>
      </c>
    </row>
    <row r="586" spans="11:13" x14ac:dyDescent="0.25">
      <c r="K586">
        <v>558</v>
      </c>
      <c r="L586" s="3">
        <v>0.05</v>
      </c>
      <c r="M586" s="3">
        <v>-0.11071779892325838</v>
      </c>
    </row>
    <row r="587" spans="11:13" x14ac:dyDescent="0.25">
      <c r="K587">
        <v>559</v>
      </c>
      <c r="L587" s="3">
        <v>0.05</v>
      </c>
      <c r="M587" s="3">
        <v>-0.11071779892325838</v>
      </c>
    </row>
    <row r="588" spans="11:13" x14ac:dyDescent="0.25">
      <c r="K588">
        <v>560</v>
      </c>
      <c r="L588" s="3">
        <v>0.05</v>
      </c>
      <c r="M588" s="3">
        <v>-0.11071779892325838</v>
      </c>
    </row>
    <row r="589" spans="11:13" x14ac:dyDescent="0.25">
      <c r="K589">
        <v>561</v>
      </c>
      <c r="L589" s="3">
        <v>0.05</v>
      </c>
      <c r="M589" s="3">
        <v>-0.11071779892325838</v>
      </c>
    </row>
    <row r="590" spans="11:13" x14ac:dyDescent="0.25">
      <c r="K590">
        <v>562</v>
      </c>
      <c r="L590" s="3">
        <v>0.05</v>
      </c>
      <c r="M590" s="3">
        <v>-0.11071779892325838</v>
      </c>
    </row>
    <row r="591" spans="11:13" x14ac:dyDescent="0.25">
      <c r="K591">
        <v>563</v>
      </c>
      <c r="L591" s="3">
        <v>0.05</v>
      </c>
      <c r="M591" s="3">
        <v>-0.11071779892325838</v>
      </c>
    </row>
    <row r="592" spans="11:13" x14ac:dyDescent="0.25">
      <c r="K592">
        <v>564</v>
      </c>
      <c r="L592" s="3">
        <v>0.05</v>
      </c>
      <c r="M592" s="3">
        <v>-0.11071779892325838</v>
      </c>
    </row>
    <row r="593" spans="11:13" x14ac:dyDescent="0.25">
      <c r="K593">
        <v>565</v>
      </c>
      <c r="L593" s="3">
        <v>0.05</v>
      </c>
      <c r="M593" s="3">
        <v>-0.11071779892325838</v>
      </c>
    </row>
    <row r="594" spans="11:13" x14ac:dyDescent="0.25">
      <c r="K594">
        <v>566</v>
      </c>
      <c r="L594" s="3">
        <v>0.05</v>
      </c>
      <c r="M594" s="3">
        <v>-0.11071779892325838</v>
      </c>
    </row>
    <row r="595" spans="11:13" x14ac:dyDescent="0.25">
      <c r="K595">
        <v>567</v>
      </c>
      <c r="L595" s="3">
        <v>0.05</v>
      </c>
      <c r="M595" s="3">
        <v>-0.11071779892325838</v>
      </c>
    </row>
    <row r="596" spans="11:13" x14ac:dyDescent="0.25">
      <c r="K596">
        <v>568</v>
      </c>
      <c r="L596" s="3">
        <v>0.05</v>
      </c>
      <c r="M596" s="3">
        <v>-0.11071779892325838</v>
      </c>
    </row>
    <row r="597" spans="11:13" x14ac:dyDescent="0.25">
      <c r="K597">
        <v>569</v>
      </c>
      <c r="L597" s="3">
        <v>0.05</v>
      </c>
      <c r="M597" s="3">
        <v>-0.11071779892325838</v>
      </c>
    </row>
    <row r="598" spans="11:13" x14ac:dyDescent="0.25">
      <c r="K598">
        <v>570</v>
      </c>
      <c r="L598" s="3">
        <v>0.05</v>
      </c>
      <c r="M598" s="3">
        <v>-0.11071779892325838</v>
      </c>
    </row>
    <row r="599" spans="11:13" x14ac:dyDescent="0.25">
      <c r="K599">
        <v>571</v>
      </c>
      <c r="L599" s="3">
        <v>0.05</v>
      </c>
      <c r="M599" s="3">
        <v>-0.11071779892325838</v>
      </c>
    </row>
    <row r="600" spans="11:13" x14ac:dyDescent="0.25">
      <c r="K600">
        <v>572</v>
      </c>
      <c r="L600" s="3">
        <v>0.05</v>
      </c>
      <c r="M600" s="3">
        <v>-0.11071779892325838</v>
      </c>
    </row>
    <row r="601" spans="11:13" x14ac:dyDescent="0.25">
      <c r="K601">
        <v>573</v>
      </c>
      <c r="L601" s="3">
        <v>0.05</v>
      </c>
      <c r="M601" s="3">
        <v>-0.11071779892325838</v>
      </c>
    </row>
    <row r="602" spans="11:13" x14ac:dyDescent="0.25">
      <c r="K602">
        <v>574</v>
      </c>
      <c r="L602" s="3">
        <v>0.05</v>
      </c>
      <c r="M602" s="3">
        <v>-0.11071779892325838</v>
      </c>
    </row>
    <row r="603" spans="11:13" x14ac:dyDescent="0.25">
      <c r="K603">
        <v>575</v>
      </c>
      <c r="L603" s="3">
        <v>0.05</v>
      </c>
      <c r="M603" s="3">
        <v>-0.11071779892325838</v>
      </c>
    </row>
    <row r="604" spans="11:13" x14ac:dyDescent="0.25">
      <c r="K604">
        <v>576</v>
      </c>
      <c r="L604" s="3">
        <v>0.05</v>
      </c>
      <c r="M604" s="3">
        <v>-0.11071779892325838</v>
      </c>
    </row>
    <row r="605" spans="11:13" x14ac:dyDescent="0.25">
      <c r="K605">
        <v>577</v>
      </c>
      <c r="L605" s="3">
        <v>0.05</v>
      </c>
      <c r="M605" s="3">
        <v>-0.11071779892325838</v>
      </c>
    </row>
    <row r="606" spans="11:13" x14ac:dyDescent="0.25">
      <c r="K606">
        <v>578</v>
      </c>
      <c r="L606" s="3">
        <v>0.05</v>
      </c>
      <c r="M606" s="3">
        <v>-0.11071779892325838</v>
      </c>
    </row>
    <row r="607" spans="11:13" x14ac:dyDescent="0.25">
      <c r="K607">
        <v>579</v>
      </c>
      <c r="L607" s="3">
        <v>0.05</v>
      </c>
      <c r="M607" s="3">
        <v>-0.11071779892325838</v>
      </c>
    </row>
    <row r="608" spans="11:13" x14ac:dyDescent="0.25">
      <c r="K608">
        <v>580</v>
      </c>
      <c r="L608" s="3">
        <v>0.05</v>
      </c>
      <c r="M608" s="3">
        <v>-0.11071779892325838</v>
      </c>
    </row>
    <row r="609" spans="11:13" x14ac:dyDescent="0.25">
      <c r="K609">
        <v>581</v>
      </c>
      <c r="L609" s="3">
        <v>0.05</v>
      </c>
      <c r="M609" s="3">
        <v>-0.11071779892325838</v>
      </c>
    </row>
    <row r="610" spans="11:13" x14ac:dyDescent="0.25">
      <c r="K610">
        <v>582</v>
      </c>
      <c r="L610" s="3">
        <v>0.05</v>
      </c>
      <c r="M610" s="3">
        <v>-0.11071779892325838</v>
      </c>
    </row>
    <row r="611" spans="11:13" x14ac:dyDescent="0.25">
      <c r="K611">
        <v>583</v>
      </c>
      <c r="L611" s="3">
        <v>0.05</v>
      </c>
      <c r="M611" s="3">
        <v>-0.11071779892325838</v>
      </c>
    </row>
    <row r="612" spans="11:13" x14ac:dyDescent="0.25">
      <c r="K612">
        <v>584</v>
      </c>
      <c r="L612" s="3">
        <v>0.05</v>
      </c>
      <c r="M612" s="3">
        <v>-0.11071779892325838</v>
      </c>
    </row>
    <row r="613" spans="11:13" x14ac:dyDescent="0.25">
      <c r="K613">
        <v>585</v>
      </c>
      <c r="L613" s="3">
        <v>0.05</v>
      </c>
      <c r="M613" s="3">
        <v>-0.11071779892325838</v>
      </c>
    </row>
    <row r="614" spans="11:13" x14ac:dyDescent="0.25">
      <c r="K614">
        <v>586</v>
      </c>
      <c r="L614" s="3">
        <v>0.05</v>
      </c>
      <c r="M614" s="3">
        <v>-0.11071779892325838</v>
      </c>
    </row>
    <row r="615" spans="11:13" x14ac:dyDescent="0.25">
      <c r="K615">
        <v>587</v>
      </c>
      <c r="L615" s="3">
        <v>0.05</v>
      </c>
      <c r="M615" s="3">
        <v>-0.11071779892325838</v>
      </c>
    </row>
    <row r="616" spans="11:13" x14ac:dyDescent="0.25">
      <c r="K616">
        <v>588</v>
      </c>
      <c r="L616" s="3">
        <v>0.05</v>
      </c>
      <c r="M616" s="3">
        <v>-0.11071779892325838</v>
      </c>
    </row>
    <row r="617" spans="11:13" x14ac:dyDescent="0.25">
      <c r="K617">
        <v>589</v>
      </c>
      <c r="L617" s="3">
        <v>0.05</v>
      </c>
      <c r="M617" s="3">
        <v>-0.11071779892325838</v>
      </c>
    </row>
    <row r="618" spans="11:13" x14ac:dyDescent="0.25">
      <c r="K618">
        <v>590</v>
      </c>
      <c r="L618" s="3">
        <v>0.05</v>
      </c>
      <c r="M618" s="3">
        <v>-0.11071779892325838</v>
      </c>
    </row>
    <row r="619" spans="11:13" x14ac:dyDescent="0.25">
      <c r="K619">
        <v>591</v>
      </c>
      <c r="L619" s="3">
        <v>0.05</v>
      </c>
      <c r="M619" s="3">
        <v>-0.11071779892325838</v>
      </c>
    </row>
    <row r="620" spans="11:13" x14ac:dyDescent="0.25">
      <c r="K620">
        <v>592</v>
      </c>
      <c r="L620" s="3">
        <v>0.05</v>
      </c>
      <c r="M620" s="3">
        <v>-0.11071779892325838</v>
      </c>
    </row>
    <row r="621" spans="11:13" x14ac:dyDescent="0.25">
      <c r="K621">
        <v>593</v>
      </c>
      <c r="L621" s="3">
        <v>0.05</v>
      </c>
      <c r="M621" s="3">
        <v>-0.11071779892325838</v>
      </c>
    </row>
    <row r="622" spans="11:13" x14ac:dyDescent="0.25">
      <c r="K622">
        <v>594</v>
      </c>
      <c r="L622" s="3">
        <v>0.05</v>
      </c>
      <c r="M622" s="3">
        <v>-0.11071779892325838</v>
      </c>
    </row>
    <row r="623" spans="11:13" x14ac:dyDescent="0.25">
      <c r="K623">
        <v>595</v>
      </c>
      <c r="L623" s="3">
        <v>0.05</v>
      </c>
      <c r="M623" s="3">
        <v>-0.11071779892325838</v>
      </c>
    </row>
    <row r="624" spans="11:13" x14ac:dyDescent="0.25">
      <c r="K624">
        <v>596</v>
      </c>
      <c r="L624" s="3">
        <v>0.05</v>
      </c>
      <c r="M624" s="3">
        <v>-0.11071779892325838</v>
      </c>
    </row>
    <row r="625" spans="11:13" x14ac:dyDescent="0.25">
      <c r="K625">
        <v>597</v>
      </c>
      <c r="L625" s="3">
        <v>0.05</v>
      </c>
      <c r="M625" s="3">
        <v>-0.11071779892325838</v>
      </c>
    </row>
    <row r="626" spans="11:13" x14ac:dyDescent="0.25">
      <c r="K626">
        <v>598</v>
      </c>
      <c r="L626" s="3">
        <v>0.05</v>
      </c>
      <c r="M626" s="3">
        <v>-0.11071779892325838</v>
      </c>
    </row>
    <row r="627" spans="11:13" x14ac:dyDescent="0.25">
      <c r="K627">
        <v>599</v>
      </c>
      <c r="L627" s="3">
        <v>0.05</v>
      </c>
      <c r="M627" s="3">
        <v>-0.11071779892325838</v>
      </c>
    </row>
    <row r="628" spans="11:13" x14ac:dyDescent="0.25">
      <c r="K628">
        <v>600</v>
      </c>
      <c r="L628" s="3">
        <v>0.05</v>
      </c>
      <c r="M628" s="3">
        <v>-0.11071779892325838</v>
      </c>
    </row>
    <row r="629" spans="11:13" x14ac:dyDescent="0.25">
      <c r="K629">
        <v>601</v>
      </c>
      <c r="L629" s="3">
        <v>0.05</v>
      </c>
      <c r="M629" s="3">
        <v>-0.11071779892325838</v>
      </c>
    </row>
    <row r="630" spans="11:13" x14ac:dyDescent="0.25">
      <c r="K630">
        <v>602</v>
      </c>
      <c r="L630" s="3">
        <v>0.05</v>
      </c>
      <c r="M630" s="3">
        <v>-0.11071779892325838</v>
      </c>
    </row>
    <row r="631" spans="11:13" x14ac:dyDescent="0.25">
      <c r="K631">
        <v>603</v>
      </c>
      <c r="L631" s="3">
        <v>0.05</v>
      </c>
      <c r="M631" s="3">
        <v>-0.11071779892325838</v>
      </c>
    </row>
    <row r="632" spans="11:13" x14ac:dyDescent="0.25">
      <c r="K632">
        <v>604</v>
      </c>
      <c r="L632" s="3">
        <v>0.05</v>
      </c>
      <c r="M632" s="3">
        <v>-0.11071779892325838</v>
      </c>
    </row>
    <row r="633" spans="11:13" x14ac:dyDescent="0.25">
      <c r="K633">
        <v>605</v>
      </c>
      <c r="L633" s="3">
        <v>0.05</v>
      </c>
      <c r="M633" s="3">
        <v>-0.11071779892325838</v>
      </c>
    </row>
    <row r="634" spans="11:13" x14ac:dyDescent="0.25">
      <c r="K634">
        <v>606</v>
      </c>
      <c r="L634" s="3">
        <v>0.05</v>
      </c>
      <c r="M634" s="3">
        <v>-0.11071779892325838</v>
      </c>
    </row>
    <row r="635" spans="11:13" x14ac:dyDescent="0.25">
      <c r="K635">
        <v>607</v>
      </c>
      <c r="L635" s="3">
        <v>0.05</v>
      </c>
      <c r="M635" s="3">
        <v>-0.11071779892325838</v>
      </c>
    </row>
    <row r="636" spans="11:13" x14ac:dyDescent="0.25">
      <c r="K636">
        <v>608</v>
      </c>
      <c r="L636" s="3">
        <v>0.05</v>
      </c>
      <c r="M636" s="3">
        <v>-0.11071779892325838</v>
      </c>
    </row>
    <row r="637" spans="11:13" x14ac:dyDescent="0.25">
      <c r="K637">
        <v>609</v>
      </c>
      <c r="L637" s="3">
        <v>0.05</v>
      </c>
      <c r="M637" s="3">
        <v>-0.11071779892325838</v>
      </c>
    </row>
    <row r="638" spans="11:13" x14ac:dyDescent="0.25">
      <c r="K638">
        <v>610</v>
      </c>
      <c r="L638" s="3">
        <v>0.05</v>
      </c>
      <c r="M638" s="3">
        <v>-0.11071779892325838</v>
      </c>
    </row>
    <row r="639" spans="11:13" x14ac:dyDescent="0.25">
      <c r="K639">
        <v>611</v>
      </c>
      <c r="L639" s="3">
        <v>0.05</v>
      </c>
      <c r="M639" s="3">
        <v>-0.11071779892325838</v>
      </c>
    </row>
    <row r="640" spans="11:13" x14ac:dyDescent="0.25">
      <c r="K640">
        <v>612</v>
      </c>
      <c r="L640" s="3">
        <v>0.05</v>
      </c>
      <c r="M640" s="3">
        <v>-0.11071779892325838</v>
      </c>
    </row>
    <row r="641" spans="11:13" x14ac:dyDescent="0.25">
      <c r="K641">
        <v>613</v>
      </c>
      <c r="L641" s="3">
        <v>0.05</v>
      </c>
      <c r="M641" s="3">
        <v>-0.11071779892325838</v>
      </c>
    </row>
    <row r="642" spans="11:13" x14ac:dyDescent="0.25">
      <c r="K642">
        <v>614</v>
      </c>
      <c r="L642" s="3">
        <v>0.05</v>
      </c>
      <c r="M642" s="3">
        <v>-0.11071779892325838</v>
      </c>
    </row>
    <row r="643" spans="11:13" x14ac:dyDescent="0.25">
      <c r="K643">
        <v>615</v>
      </c>
      <c r="L643" s="3">
        <v>0.05</v>
      </c>
      <c r="M643" s="3">
        <v>-0.11071779892325838</v>
      </c>
    </row>
    <row r="644" spans="11:13" x14ac:dyDescent="0.25">
      <c r="K644">
        <v>616</v>
      </c>
      <c r="L644" s="3">
        <v>0.05</v>
      </c>
      <c r="M644" s="3">
        <v>-0.11071779892325838</v>
      </c>
    </row>
    <row r="645" spans="11:13" x14ac:dyDescent="0.25">
      <c r="K645">
        <v>617</v>
      </c>
      <c r="L645" s="3">
        <v>0.05</v>
      </c>
      <c r="M645" s="3">
        <v>-0.11071779892325838</v>
      </c>
    </row>
    <row r="646" spans="11:13" x14ac:dyDescent="0.25">
      <c r="K646">
        <v>618</v>
      </c>
      <c r="L646" s="3">
        <v>0.05</v>
      </c>
      <c r="M646" s="3">
        <v>-0.11071779892325838</v>
      </c>
    </row>
    <row r="647" spans="11:13" x14ac:dyDescent="0.25">
      <c r="K647">
        <v>619</v>
      </c>
      <c r="L647" s="3">
        <v>0.05</v>
      </c>
      <c r="M647" s="3">
        <v>-0.11071779892325838</v>
      </c>
    </row>
    <row r="648" spans="11:13" x14ac:dyDescent="0.25">
      <c r="K648">
        <v>620</v>
      </c>
      <c r="L648" s="3">
        <v>0.05</v>
      </c>
      <c r="M648" s="3">
        <v>-0.11071779892325838</v>
      </c>
    </row>
    <row r="649" spans="11:13" x14ac:dyDescent="0.25">
      <c r="K649">
        <v>621</v>
      </c>
      <c r="L649" s="3">
        <v>0.05</v>
      </c>
      <c r="M649" s="3">
        <v>-0.11071779892325838</v>
      </c>
    </row>
    <row r="650" spans="11:13" x14ac:dyDescent="0.25">
      <c r="K650">
        <v>622</v>
      </c>
      <c r="L650" s="3">
        <v>0.05</v>
      </c>
      <c r="M650" s="3">
        <v>-0.11071779892325838</v>
      </c>
    </row>
    <row r="651" spans="11:13" x14ac:dyDescent="0.25">
      <c r="K651">
        <v>623</v>
      </c>
      <c r="L651" s="3">
        <v>0.05</v>
      </c>
      <c r="M651" s="3">
        <v>-0.11071779892325838</v>
      </c>
    </row>
    <row r="652" spans="11:13" x14ac:dyDescent="0.25">
      <c r="K652">
        <v>624</v>
      </c>
      <c r="L652" s="3">
        <v>0.05</v>
      </c>
      <c r="M652" s="3">
        <v>-0.11071779892325838</v>
      </c>
    </row>
    <row r="653" spans="11:13" x14ac:dyDescent="0.25">
      <c r="K653">
        <v>625</v>
      </c>
      <c r="L653" s="3">
        <v>0.05</v>
      </c>
      <c r="M653" s="3">
        <v>-0.11071779892325838</v>
      </c>
    </row>
    <row r="654" spans="11:13" x14ac:dyDescent="0.25">
      <c r="K654">
        <v>626</v>
      </c>
      <c r="L654" s="3">
        <v>0.05</v>
      </c>
      <c r="M654" s="3">
        <v>-0.11071779892325838</v>
      </c>
    </row>
    <row r="655" spans="11:13" x14ac:dyDescent="0.25">
      <c r="K655">
        <v>627</v>
      </c>
      <c r="L655" s="3">
        <v>0.05</v>
      </c>
      <c r="M655" s="3">
        <v>-0.11071779892325838</v>
      </c>
    </row>
    <row r="656" spans="11:13" x14ac:dyDescent="0.25">
      <c r="K656">
        <v>628</v>
      </c>
      <c r="L656" s="3">
        <v>0.05</v>
      </c>
      <c r="M656" s="3">
        <v>-0.11071779892325838</v>
      </c>
    </row>
    <row r="657" spans="11:13" x14ac:dyDescent="0.25">
      <c r="K657">
        <v>629</v>
      </c>
      <c r="L657" s="3">
        <v>0.05</v>
      </c>
      <c r="M657" s="3">
        <v>-0.11071779892325838</v>
      </c>
    </row>
    <row r="658" spans="11:13" x14ac:dyDescent="0.25">
      <c r="K658">
        <v>630</v>
      </c>
      <c r="L658" s="3">
        <v>0.05</v>
      </c>
      <c r="M658" s="3">
        <v>-0.11071779892325838</v>
      </c>
    </row>
    <row r="659" spans="11:13" x14ac:dyDescent="0.25">
      <c r="K659">
        <v>631</v>
      </c>
      <c r="L659" s="3">
        <v>0.05</v>
      </c>
      <c r="M659" s="3">
        <v>-0.11071779892325838</v>
      </c>
    </row>
    <row r="660" spans="11:13" x14ac:dyDescent="0.25">
      <c r="K660">
        <v>632</v>
      </c>
      <c r="L660" s="3">
        <v>0.05</v>
      </c>
      <c r="M660" s="3">
        <v>-0.11071779892325838</v>
      </c>
    </row>
    <row r="661" spans="11:13" x14ac:dyDescent="0.25">
      <c r="K661">
        <v>633</v>
      </c>
      <c r="L661" s="3">
        <v>0.05</v>
      </c>
      <c r="M661" s="3">
        <v>-0.11071779892325838</v>
      </c>
    </row>
    <row r="662" spans="11:13" x14ac:dyDescent="0.25">
      <c r="K662">
        <v>634</v>
      </c>
      <c r="L662" s="3">
        <v>0.05</v>
      </c>
      <c r="M662" s="3">
        <v>-0.11071779892325838</v>
      </c>
    </row>
    <row r="663" spans="11:13" x14ac:dyDescent="0.25">
      <c r="K663">
        <v>635</v>
      </c>
      <c r="L663" s="3">
        <v>0.05</v>
      </c>
      <c r="M663" s="3">
        <v>-0.11071779892325838</v>
      </c>
    </row>
    <row r="664" spans="11:13" x14ac:dyDescent="0.25">
      <c r="K664">
        <v>636</v>
      </c>
      <c r="L664" s="3">
        <v>0.05</v>
      </c>
      <c r="M664" s="3">
        <v>-0.11071779892325838</v>
      </c>
    </row>
    <row r="665" spans="11:13" x14ac:dyDescent="0.25">
      <c r="K665">
        <v>637</v>
      </c>
      <c r="L665" s="3">
        <v>0.05</v>
      </c>
      <c r="M665" s="3">
        <v>-0.11071779892325838</v>
      </c>
    </row>
    <row r="666" spans="11:13" x14ac:dyDescent="0.25">
      <c r="K666">
        <v>638</v>
      </c>
      <c r="L666" s="3">
        <v>0.05</v>
      </c>
      <c r="M666" s="3">
        <v>-0.11071779892325838</v>
      </c>
    </row>
    <row r="667" spans="11:13" x14ac:dyDescent="0.25">
      <c r="K667">
        <v>639</v>
      </c>
      <c r="L667" s="3">
        <v>0.05</v>
      </c>
      <c r="M667" s="3">
        <v>-0.11071779892325838</v>
      </c>
    </row>
    <row r="668" spans="11:13" x14ac:dyDescent="0.25">
      <c r="K668">
        <v>640</v>
      </c>
      <c r="L668" s="3">
        <v>0.05</v>
      </c>
      <c r="M668" s="3">
        <v>-0.11071779892325838</v>
      </c>
    </row>
    <row r="669" spans="11:13" x14ac:dyDescent="0.25">
      <c r="K669">
        <v>641</v>
      </c>
      <c r="L669" s="3">
        <v>0.05</v>
      </c>
      <c r="M669" s="3">
        <v>-0.11071779892325838</v>
      </c>
    </row>
    <row r="670" spans="11:13" x14ac:dyDescent="0.25">
      <c r="K670">
        <v>642</v>
      </c>
      <c r="L670" s="3">
        <v>0.05</v>
      </c>
      <c r="M670" s="3">
        <v>-0.11071779892325838</v>
      </c>
    </row>
    <row r="671" spans="11:13" x14ac:dyDescent="0.25">
      <c r="K671">
        <v>643</v>
      </c>
      <c r="L671" s="3">
        <v>0.05</v>
      </c>
      <c r="M671" s="3">
        <v>-0.11071779892325838</v>
      </c>
    </row>
    <row r="672" spans="11:13" x14ac:dyDescent="0.25">
      <c r="K672">
        <v>644</v>
      </c>
      <c r="L672" s="3">
        <v>0.05</v>
      </c>
      <c r="M672" s="3">
        <v>-0.11071779892325838</v>
      </c>
    </row>
    <row r="673" spans="11:13" x14ac:dyDescent="0.25">
      <c r="K673">
        <v>645</v>
      </c>
      <c r="L673" s="3">
        <v>0.05</v>
      </c>
      <c r="M673" s="3">
        <v>-0.11071779892325838</v>
      </c>
    </row>
    <row r="674" spans="11:13" x14ac:dyDescent="0.25">
      <c r="K674">
        <v>646</v>
      </c>
      <c r="L674" s="3">
        <v>0.05</v>
      </c>
      <c r="M674" s="3">
        <v>-0.11071779892325838</v>
      </c>
    </row>
    <row r="675" spans="11:13" x14ac:dyDescent="0.25">
      <c r="K675">
        <v>647</v>
      </c>
      <c r="L675" s="3">
        <v>0.05</v>
      </c>
      <c r="M675" s="3">
        <v>-0.11071779892325838</v>
      </c>
    </row>
    <row r="676" spans="11:13" x14ac:dyDescent="0.25">
      <c r="K676">
        <v>648</v>
      </c>
      <c r="L676" s="3">
        <v>0.05</v>
      </c>
      <c r="M676" s="3">
        <v>-0.11071779892325838</v>
      </c>
    </row>
    <row r="677" spans="11:13" x14ac:dyDescent="0.25">
      <c r="K677">
        <v>649</v>
      </c>
      <c r="L677" s="3">
        <v>0.05</v>
      </c>
      <c r="M677" s="3">
        <v>-0.11071779892325838</v>
      </c>
    </row>
    <row r="678" spans="11:13" x14ac:dyDescent="0.25">
      <c r="K678">
        <v>650</v>
      </c>
      <c r="L678" s="3">
        <v>0.05</v>
      </c>
      <c r="M678" s="3">
        <v>-0.11071779892325838</v>
      </c>
    </row>
    <row r="679" spans="11:13" x14ac:dyDescent="0.25">
      <c r="K679">
        <v>651</v>
      </c>
      <c r="L679" s="3">
        <v>0.05</v>
      </c>
      <c r="M679" s="3">
        <v>-0.11071779892325838</v>
      </c>
    </row>
    <row r="680" spans="11:13" x14ac:dyDescent="0.25">
      <c r="K680">
        <v>652</v>
      </c>
      <c r="L680" s="3">
        <v>0.05</v>
      </c>
      <c r="M680" s="3">
        <v>-0.11071779892325838</v>
      </c>
    </row>
    <row r="681" spans="11:13" x14ac:dyDescent="0.25">
      <c r="K681">
        <v>653</v>
      </c>
      <c r="L681" s="3">
        <v>0.05</v>
      </c>
      <c r="M681" s="3">
        <v>-0.11071779892325838</v>
      </c>
    </row>
    <row r="682" spans="11:13" x14ac:dyDescent="0.25">
      <c r="K682">
        <v>654</v>
      </c>
      <c r="L682" s="3">
        <v>0.05</v>
      </c>
      <c r="M682" s="3">
        <v>-0.11071779892325838</v>
      </c>
    </row>
    <row r="683" spans="11:13" x14ac:dyDescent="0.25">
      <c r="K683">
        <v>655</v>
      </c>
      <c r="L683" s="3">
        <v>0.05</v>
      </c>
      <c r="M683" s="3">
        <v>-0.11071779892325838</v>
      </c>
    </row>
    <row r="684" spans="11:13" x14ac:dyDescent="0.25">
      <c r="K684">
        <v>656</v>
      </c>
      <c r="L684" s="3">
        <v>0.05</v>
      </c>
      <c r="M684" s="3">
        <v>-0.11071779892325838</v>
      </c>
    </row>
    <row r="685" spans="11:13" x14ac:dyDescent="0.25">
      <c r="K685">
        <v>657</v>
      </c>
      <c r="L685" s="3">
        <v>0.05</v>
      </c>
      <c r="M685" s="3">
        <v>-0.11071779892325838</v>
      </c>
    </row>
    <row r="686" spans="11:13" x14ac:dyDescent="0.25">
      <c r="K686">
        <v>658</v>
      </c>
      <c r="L686" s="3">
        <v>0.05</v>
      </c>
      <c r="M686" s="3">
        <v>-0.11071779892325838</v>
      </c>
    </row>
    <row r="687" spans="11:13" x14ac:dyDescent="0.25">
      <c r="K687">
        <v>659</v>
      </c>
      <c r="L687" s="3">
        <v>0.05</v>
      </c>
      <c r="M687" s="3">
        <v>-0.11071779892325838</v>
      </c>
    </row>
    <row r="688" spans="11:13" x14ac:dyDescent="0.25">
      <c r="K688">
        <v>660</v>
      </c>
      <c r="L688" s="3">
        <v>0.05</v>
      </c>
      <c r="M688" s="3">
        <v>-0.11071779892325838</v>
      </c>
    </row>
    <row r="689" spans="11:13" x14ac:dyDescent="0.25">
      <c r="K689">
        <v>661</v>
      </c>
      <c r="L689" s="3">
        <v>0.05</v>
      </c>
      <c r="M689" s="3">
        <v>-0.11071779892325838</v>
      </c>
    </row>
    <row r="690" spans="11:13" x14ac:dyDescent="0.25">
      <c r="K690">
        <v>662</v>
      </c>
      <c r="L690" s="3">
        <v>0.05</v>
      </c>
      <c r="M690" s="3">
        <v>-0.11071779892325838</v>
      </c>
    </row>
    <row r="691" spans="11:13" x14ac:dyDescent="0.25">
      <c r="K691">
        <v>663</v>
      </c>
      <c r="L691" s="3">
        <v>0.05</v>
      </c>
      <c r="M691" s="3">
        <v>-0.11071779892325838</v>
      </c>
    </row>
    <row r="692" spans="11:13" x14ac:dyDescent="0.25">
      <c r="K692">
        <v>664</v>
      </c>
      <c r="L692" s="3">
        <v>0.05</v>
      </c>
      <c r="M692" s="3">
        <v>-0.11071779892325838</v>
      </c>
    </row>
    <row r="693" spans="11:13" x14ac:dyDescent="0.25">
      <c r="K693">
        <v>665</v>
      </c>
      <c r="L693" s="3">
        <v>0.05</v>
      </c>
      <c r="M693" s="3">
        <v>-0.11071779892325838</v>
      </c>
    </row>
    <row r="694" spans="11:13" x14ac:dyDescent="0.25">
      <c r="K694">
        <v>666</v>
      </c>
      <c r="L694" s="3">
        <v>0.05</v>
      </c>
      <c r="M694" s="3">
        <v>-0.11071779892325838</v>
      </c>
    </row>
    <row r="695" spans="11:13" x14ac:dyDescent="0.25">
      <c r="K695">
        <v>667</v>
      </c>
      <c r="L695" s="3">
        <v>0.05</v>
      </c>
      <c r="M695" s="3">
        <v>-0.11071779892325838</v>
      </c>
    </row>
    <row r="696" spans="11:13" x14ac:dyDescent="0.25">
      <c r="K696">
        <v>668</v>
      </c>
      <c r="L696" s="3">
        <v>0.05</v>
      </c>
      <c r="M696" s="3">
        <v>-0.11071779892325838</v>
      </c>
    </row>
    <row r="697" spans="11:13" x14ac:dyDescent="0.25">
      <c r="K697">
        <v>669</v>
      </c>
      <c r="L697" s="3">
        <v>0.05</v>
      </c>
      <c r="M697" s="3">
        <v>-0.11071779892325838</v>
      </c>
    </row>
    <row r="698" spans="11:13" x14ac:dyDescent="0.25">
      <c r="K698">
        <v>670</v>
      </c>
      <c r="L698" s="3">
        <v>0.05</v>
      </c>
      <c r="M698" s="3">
        <v>-0.11071779892325838</v>
      </c>
    </row>
    <row r="699" spans="11:13" x14ac:dyDescent="0.25">
      <c r="K699">
        <v>671</v>
      </c>
      <c r="L699" s="3">
        <v>0.05</v>
      </c>
      <c r="M699" s="3">
        <v>-0.11071779892325838</v>
      </c>
    </row>
    <row r="700" spans="11:13" x14ac:dyDescent="0.25">
      <c r="K700">
        <v>672</v>
      </c>
      <c r="L700" s="3">
        <v>0.05</v>
      </c>
      <c r="M700" s="3">
        <v>-0.11071779892325838</v>
      </c>
    </row>
    <row r="701" spans="11:13" x14ac:dyDescent="0.25">
      <c r="K701">
        <v>673</v>
      </c>
      <c r="L701" s="3">
        <v>0.05</v>
      </c>
      <c r="M701" s="3">
        <v>-0.11071779892325838</v>
      </c>
    </row>
    <row r="702" spans="11:13" x14ac:dyDescent="0.25">
      <c r="K702">
        <v>674</v>
      </c>
      <c r="L702" s="3">
        <v>0.05</v>
      </c>
      <c r="M702" s="3">
        <v>-0.11071779892325838</v>
      </c>
    </row>
    <row r="703" spans="11:13" x14ac:dyDescent="0.25">
      <c r="K703">
        <v>675</v>
      </c>
      <c r="L703" s="3">
        <v>0.05</v>
      </c>
      <c r="M703" s="3">
        <v>-0.11071779892325838</v>
      </c>
    </row>
    <row r="704" spans="11:13" x14ac:dyDescent="0.25">
      <c r="K704">
        <v>676</v>
      </c>
      <c r="L704" s="3">
        <v>0.05</v>
      </c>
      <c r="M704" s="3">
        <v>-0.11071779892325838</v>
      </c>
    </row>
    <row r="705" spans="11:13" x14ac:dyDescent="0.25">
      <c r="K705">
        <v>677</v>
      </c>
      <c r="L705" s="3">
        <v>0.05</v>
      </c>
      <c r="M705" s="3">
        <v>-0.11071779892325838</v>
      </c>
    </row>
    <row r="706" spans="11:13" x14ac:dyDescent="0.25">
      <c r="K706">
        <v>678</v>
      </c>
      <c r="L706" s="3">
        <v>0.05</v>
      </c>
      <c r="M706" s="3">
        <v>-0.11071779892325838</v>
      </c>
    </row>
    <row r="707" spans="11:13" x14ac:dyDescent="0.25">
      <c r="K707">
        <v>679</v>
      </c>
      <c r="L707" s="3">
        <v>0.05</v>
      </c>
      <c r="M707" s="3">
        <v>-0.11071779892325838</v>
      </c>
    </row>
    <row r="708" spans="11:13" x14ac:dyDescent="0.25">
      <c r="K708">
        <v>680</v>
      </c>
      <c r="L708" s="3">
        <v>0.05</v>
      </c>
      <c r="M708" s="3">
        <v>-0.11071779892325838</v>
      </c>
    </row>
    <row r="709" spans="11:13" x14ac:dyDescent="0.25">
      <c r="K709">
        <v>681</v>
      </c>
      <c r="L709" s="3">
        <v>0.05</v>
      </c>
      <c r="M709" s="3">
        <v>-0.11071779892325838</v>
      </c>
    </row>
    <row r="710" spans="11:13" x14ac:dyDescent="0.25">
      <c r="K710">
        <v>682</v>
      </c>
      <c r="L710" s="3">
        <v>0.05</v>
      </c>
      <c r="M710" s="3">
        <v>-0.11071779892325838</v>
      </c>
    </row>
    <row r="711" spans="11:13" x14ac:dyDescent="0.25">
      <c r="K711">
        <v>683</v>
      </c>
      <c r="L711" s="3">
        <v>0.05</v>
      </c>
      <c r="M711" s="3">
        <v>-0.11071779892325838</v>
      </c>
    </row>
    <row r="712" spans="11:13" x14ac:dyDescent="0.25">
      <c r="K712">
        <v>684</v>
      </c>
      <c r="L712" s="3">
        <v>0.05</v>
      </c>
      <c r="M712" s="3">
        <v>-0.11071779892325838</v>
      </c>
    </row>
    <row r="713" spans="11:13" x14ac:dyDescent="0.25">
      <c r="K713">
        <v>685</v>
      </c>
      <c r="L713" s="3">
        <v>0.05</v>
      </c>
      <c r="M713" s="3">
        <v>-0.11071779892325838</v>
      </c>
    </row>
    <row r="714" spans="11:13" x14ac:dyDescent="0.25">
      <c r="K714">
        <v>686</v>
      </c>
      <c r="L714" s="3">
        <v>0.05</v>
      </c>
      <c r="M714" s="3">
        <v>-0.11071779892325838</v>
      </c>
    </row>
    <row r="715" spans="11:13" x14ac:dyDescent="0.25">
      <c r="K715">
        <v>687</v>
      </c>
      <c r="L715" s="3">
        <v>0.05</v>
      </c>
      <c r="M715" s="3">
        <v>-0.11071779892325838</v>
      </c>
    </row>
    <row r="716" spans="11:13" x14ac:dyDescent="0.25">
      <c r="K716">
        <v>688</v>
      </c>
      <c r="L716" s="3">
        <v>0.05</v>
      </c>
      <c r="M716" s="3">
        <v>-0.11071779892325838</v>
      </c>
    </row>
    <row r="717" spans="11:13" x14ac:dyDescent="0.25">
      <c r="K717">
        <v>689</v>
      </c>
      <c r="L717" s="3">
        <v>0.05</v>
      </c>
      <c r="M717" s="3">
        <v>-0.11071779892325838</v>
      </c>
    </row>
    <row r="718" spans="11:13" x14ac:dyDescent="0.25">
      <c r="K718">
        <v>690</v>
      </c>
      <c r="L718" s="3">
        <v>0.05</v>
      </c>
      <c r="M718" s="3">
        <v>-0.11071779892325838</v>
      </c>
    </row>
    <row r="719" spans="11:13" x14ac:dyDescent="0.25">
      <c r="K719">
        <v>691</v>
      </c>
      <c r="L719" s="3">
        <v>0.05</v>
      </c>
      <c r="M719" s="3">
        <v>-0.11071779892325838</v>
      </c>
    </row>
    <row r="720" spans="11:13" x14ac:dyDescent="0.25">
      <c r="K720">
        <v>692</v>
      </c>
      <c r="L720" s="3">
        <v>0.05</v>
      </c>
      <c r="M720" s="3">
        <v>-0.11071779892325838</v>
      </c>
    </row>
    <row r="721" spans="11:13" x14ac:dyDescent="0.25">
      <c r="K721">
        <v>693</v>
      </c>
      <c r="L721" s="3">
        <v>0.05</v>
      </c>
      <c r="M721" s="3">
        <v>-0.11071779892325838</v>
      </c>
    </row>
    <row r="722" spans="11:13" x14ac:dyDescent="0.25">
      <c r="K722">
        <v>694</v>
      </c>
      <c r="L722" s="3">
        <v>0.05</v>
      </c>
      <c r="M722" s="3">
        <v>-0.11071779892325838</v>
      </c>
    </row>
    <row r="723" spans="11:13" x14ac:dyDescent="0.25">
      <c r="K723">
        <v>695</v>
      </c>
      <c r="L723" s="3">
        <v>0.05</v>
      </c>
      <c r="M723" s="3">
        <v>-0.11071779892325838</v>
      </c>
    </row>
    <row r="724" spans="11:13" x14ac:dyDescent="0.25">
      <c r="K724">
        <v>696</v>
      </c>
      <c r="L724" s="3">
        <v>0.05</v>
      </c>
      <c r="M724" s="3">
        <v>-0.11071779892325838</v>
      </c>
    </row>
    <row r="725" spans="11:13" x14ac:dyDescent="0.25">
      <c r="K725">
        <v>697</v>
      </c>
      <c r="L725" s="3">
        <v>0.05</v>
      </c>
      <c r="M725" s="3">
        <v>-0.11071779892325838</v>
      </c>
    </row>
    <row r="726" spans="11:13" x14ac:dyDescent="0.25">
      <c r="K726">
        <v>698</v>
      </c>
      <c r="L726" s="3">
        <v>0.05</v>
      </c>
      <c r="M726" s="3">
        <v>-0.11071779892325838</v>
      </c>
    </row>
    <row r="727" spans="11:13" x14ac:dyDescent="0.25">
      <c r="K727">
        <v>699</v>
      </c>
      <c r="L727" s="3">
        <v>0.05</v>
      </c>
      <c r="M727" s="3">
        <v>-0.11071779892325838</v>
      </c>
    </row>
    <row r="728" spans="11:13" x14ac:dyDescent="0.25">
      <c r="K728">
        <v>700</v>
      </c>
      <c r="L728" s="3">
        <v>0.05</v>
      </c>
      <c r="M728" s="3">
        <v>-0.11071779892325838</v>
      </c>
    </row>
    <row r="729" spans="11:13" x14ac:dyDescent="0.25">
      <c r="K729">
        <v>701</v>
      </c>
      <c r="L729" s="3">
        <v>0.05</v>
      </c>
      <c r="M729" s="3">
        <v>-0.11071779892325838</v>
      </c>
    </row>
    <row r="730" spans="11:13" x14ac:dyDescent="0.25">
      <c r="K730">
        <v>702</v>
      </c>
      <c r="L730" s="3">
        <v>0.05</v>
      </c>
      <c r="M730" s="3">
        <v>-0.11071779892325838</v>
      </c>
    </row>
    <row r="731" spans="11:13" x14ac:dyDescent="0.25">
      <c r="K731">
        <v>703</v>
      </c>
      <c r="L731" s="3">
        <v>0.05</v>
      </c>
      <c r="M731" s="3">
        <v>-0.11071779892325838</v>
      </c>
    </row>
    <row r="732" spans="11:13" x14ac:dyDescent="0.25">
      <c r="K732">
        <v>704</v>
      </c>
      <c r="L732" s="3">
        <v>0.05</v>
      </c>
      <c r="M732" s="3">
        <v>-0.11071779892325838</v>
      </c>
    </row>
    <row r="733" spans="11:13" x14ac:dyDescent="0.25">
      <c r="K733">
        <v>705</v>
      </c>
      <c r="L733" s="3">
        <v>0.05</v>
      </c>
      <c r="M733" s="3">
        <v>-0.11071779892325838</v>
      </c>
    </row>
    <row r="734" spans="11:13" x14ac:dyDescent="0.25">
      <c r="K734">
        <v>706</v>
      </c>
      <c r="L734" s="3">
        <v>0.05</v>
      </c>
      <c r="M734" s="3">
        <v>-0.11071779892325838</v>
      </c>
    </row>
    <row r="735" spans="11:13" x14ac:dyDescent="0.25">
      <c r="K735">
        <v>707</v>
      </c>
      <c r="L735" s="3">
        <v>0.05</v>
      </c>
      <c r="M735" s="3">
        <v>-0.11071779892325838</v>
      </c>
    </row>
    <row r="736" spans="11:13" x14ac:dyDescent="0.25">
      <c r="K736">
        <v>708</v>
      </c>
      <c r="L736" s="3">
        <v>0.05</v>
      </c>
      <c r="M736" s="3">
        <v>-0.11071779892325838</v>
      </c>
    </row>
    <row r="737" spans="11:13" x14ac:dyDescent="0.25">
      <c r="K737">
        <v>709</v>
      </c>
      <c r="L737" s="3">
        <v>0.05</v>
      </c>
      <c r="M737" s="3">
        <v>-0.11071779892325838</v>
      </c>
    </row>
    <row r="738" spans="11:13" x14ac:dyDescent="0.25">
      <c r="K738">
        <v>710</v>
      </c>
      <c r="L738" s="3">
        <v>0.05</v>
      </c>
      <c r="M738" s="3">
        <v>-0.11071779892325838</v>
      </c>
    </row>
    <row r="739" spans="11:13" x14ac:dyDescent="0.25">
      <c r="K739">
        <v>711</v>
      </c>
      <c r="L739" s="3">
        <v>0.05</v>
      </c>
      <c r="M739" s="3">
        <v>-0.11071779892325838</v>
      </c>
    </row>
    <row r="740" spans="11:13" x14ac:dyDescent="0.25">
      <c r="K740">
        <v>712</v>
      </c>
      <c r="L740" s="3">
        <v>0.05</v>
      </c>
      <c r="M740" s="3">
        <v>-0.11071779892325838</v>
      </c>
    </row>
    <row r="741" spans="11:13" x14ac:dyDescent="0.25">
      <c r="K741">
        <v>713</v>
      </c>
      <c r="L741" s="3">
        <v>0.05</v>
      </c>
      <c r="M741" s="3">
        <v>-0.11071779892325838</v>
      </c>
    </row>
    <row r="742" spans="11:13" x14ac:dyDescent="0.25">
      <c r="K742">
        <v>714</v>
      </c>
      <c r="L742" s="3">
        <v>0.05</v>
      </c>
      <c r="M742" s="3">
        <v>-0.11071779892325838</v>
      </c>
    </row>
    <row r="743" spans="11:13" x14ac:dyDescent="0.25">
      <c r="K743">
        <v>715</v>
      </c>
      <c r="L743" s="3">
        <v>0.05</v>
      </c>
      <c r="M743" s="3">
        <v>-0.11071779892325838</v>
      </c>
    </row>
    <row r="744" spans="11:13" x14ac:dyDescent="0.25">
      <c r="K744">
        <v>716</v>
      </c>
      <c r="L744" s="3">
        <v>0.05</v>
      </c>
      <c r="M744" s="3">
        <v>-0.11071779892325838</v>
      </c>
    </row>
    <row r="745" spans="11:13" x14ac:dyDescent="0.25">
      <c r="K745">
        <v>717</v>
      </c>
      <c r="L745" s="3">
        <v>0.05</v>
      </c>
      <c r="M745" s="3">
        <v>-0.11071779892325838</v>
      </c>
    </row>
    <row r="746" spans="11:13" x14ac:dyDescent="0.25">
      <c r="K746">
        <v>718</v>
      </c>
      <c r="L746" s="3">
        <v>0.05</v>
      </c>
      <c r="M746" s="3">
        <v>-0.11071779892325838</v>
      </c>
    </row>
    <row r="747" spans="11:13" x14ac:dyDescent="0.25">
      <c r="K747">
        <v>719</v>
      </c>
      <c r="L747" s="3">
        <v>0.05</v>
      </c>
      <c r="M747" s="3">
        <v>-0.11071779892325838</v>
      </c>
    </row>
    <row r="748" spans="11:13" x14ac:dyDescent="0.25">
      <c r="K748">
        <v>720</v>
      </c>
      <c r="L748" s="3">
        <v>0.05</v>
      </c>
      <c r="M748" s="3">
        <v>-0.11071779892325838</v>
      </c>
    </row>
    <row r="749" spans="11:13" x14ac:dyDescent="0.25">
      <c r="K749">
        <v>721</v>
      </c>
      <c r="L749" s="3">
        <v>0.05</v>
      </c>
      <c r="M749" s="3">
        <v>-0.11071779892325838</v>
      </c>
    </row>
    <row r="750" spans="11:13" x14ac:dyDescent="0.25">
      <c r="K750">
        <v>722</v>
      </c>
      <c r="L750" s="3">
        <v>0.05</v>
      </c>
      <c r="M750" s="3">
        <v>-0.11071779892325838</v>
      </c>
    </row>
    <row r="751" spans="11:13" x14ac:dyDescent="0.25">
      <c r="K751">
        <v>723</v>
      </c>
      <c r="L751" s="3">
        <v>0.05</v>
      </c>
      <c r="M751" s="3">
        <v>-0.11071779892325838</v>
      </c>
    </row>
    <row r="752" spans="11:13" x14ac:dyDescent="0.25">
      <c r="K752">
        <v>724</v>
      </c>
      <c r="L752" s="3">
        <v>0.05</v>
      </c>
      <c r="M752" s="3">
        <v>-0.11071779892325838</v>
      </c>
    </row>
    <row r="753" spans="11:13" x14ac:dyDescent="0.25">
      <c r="K753">
        <v>725</v>
      </c>
      <c r="L753" s="3">
        <v>0.05</v>
      </c>
      <c r="M753" s="3">
        <v>-0.11071779892325838</v>
      </c>
    </row>
    <row r="754" spans="11:13" x14ac:dyDescent="0.25">
      <c r="K754">
        <v>726</v>
      </c>
      <c r="L754" s="3">
        <v>0.05</v>
      </c>
      <c r="M754" s="3">
        <v>-0.11071779892325838</v>
      </c>
    </row>
    <row r="755" spans="11:13" x14ac:dyDescent="0.25">
      <c r="K755">
        <v>727</v>
      </c>
      <c r="L755" s="3">
        <v>0.05</v>
      </c>
      <c r="M755" s="3">
        <v>-0.11071779892325838</v>
      </c>
    </row>
    <row r="756" spans="11:13" x14ac:dyDescent="0.25">
      <c r="K756">
        <v>728</v>
      </c>
      <c r="L756" s="3">
        <v>0.05</v>
      </c>
      <c r="M756" s="3">
        <v>-0.11071779892325838</v>
      </c>
    </row>
    <row r="757" spans="11:13" x14ac:dyDescent="0.25">
      <c r="K757">
        <v>729</v>
      </c>
      <c r="L757" s="3">
        <v>0.05</v>
      </c>
      <c r="M757" s="3">
        <v>-0.11071779892325838</v>
      </c>
    </row>
    <row r="758" spans="11:13" x14ac:dyDescent="0.25">
      <c r="K758">
        <v>730</v>
      </c>
      <c r="L758" s="3">
        <v>0.05</v>
      </c>
      <c r="M758" s="3">
        <v>-0.11071779892325838</v>
      </c>
    </row>
    <row r="759" spans="11:13" x14ac:dyDescent="0.25">
      <c r="K759">
        <v>731</v>
      </c>
      <c r="L759" s="3">
        <v>0.05</v>
      </c>
      <c r="M759" s="3">
        <v>-0.11071779892325838</v>
      </c>
    </row>
    <row r="760" spans="11:13" x14ac:dyDescent="0.25">
      <c r="K760">
        <v>732</v>
      </c>
      <c r="L760" s="3">
        <v>0.05</v>
      </c>
      <c r="M760" s="3">
        <v>-0.11071779892325838</v>
      </c>
    </row>
    <row r="761" spans="11:13" x14ac:dyDescent="0.25">
      <c r="K761">
        <v>733</v>
      </c>
      <c r="L761" s="3">
        <v>0.05</v>
      </c>
      <c r="M761" s="3">
        <v>-0.11071779892325838</v>
      </c>
    </row>
    <row r="762" spans="11:13" x14ac:dyDescent="0.25">
      <c r="K762">
        <v>734</v>
      </c>
      <c r="L762" s="3">
        <v>0.05</v>
      </c>
      <c r="M762" s="3">
        <v>-0.11071779892325838</v>
      </c>
    </row>
    <row r="763" spans="11:13" x14ac:dyDescent="0.25">
      <c r="K763">
        <v>735</v>
      </c>
      <c r="L763" s="3">
        <v>0.05</v>
      </c>
      <c r="M763" s="3">
        <v>-0.11071779892325838</v>
      </c>
    </row>
    <row r="764" spans="11:13" x14ac:dyDescent="0.25">
      <c r="K764">
        <v>736</v>
      </c>
      <c r="L764" s="3">
        <v>0.05</v>
      </c>
      <c r="M764" s="3">
        <v>-0.11071779892325838</v>
      </c>
    </row>
    <row r="765" spans="11:13" x14ac:dyDescent="0.25">
      <c r="K765">
        <v>737</v>
      </c>
      <c r="L765" s="3">
        <v>0.05</v>
      </c>
      <c r="M765" s="3">
        <v>-0.11071779892325838</v>
      </c>
    </row>
    <row r="766" spans="11:13" x14ac:dyDescent="0.25">
      <c r="K766">
        <v>738</v>
      </c>
      <c r="L766" s="3">
        <v>0.05</v>
      </c>
      <c r="M766" s="3">
        <v>-0.11071779892325838</v>
      </c>
    </row>
    <row r="767" spans="11:13" x14ac:dyDescent="0.25">
      <c r="K767">
        <v>739</v>
      </c>
      <c r="L767" s="3">
        <v>0.05</v>
      </c>
      <c r="M767" s="3">
        <v>-0.11071779892325838</v>
      </c>
    </row>
    <row r="768" spans="11:13" x14ac:dyDescent="0.25">
      <c r="K768">
        <v>740</v>
      </c>
      <c r="L768" s="3">
        <v>0.05</v>
      </c>
      <c r="M768" s="3">
        <v>-0.11071779892325838</v>
      </c>
    </row>
    <row r="769" spans="11:13" x14ac:dyDescent="0.25">
      <c r="K769">
        <v>741</v>
      </c>
      <c r="L769" s="3">
        <v>0.05</v>
      </c>
      <c r="M769" s="3">
        <v>-0.11071779892325838</v>
      </c>
    </row>
    <row r="770" spans="11:13" x14ac:dyDescent="0.25">
      <c r="K770">
        <v>742</v>
      </c>
      <c r="L770" s="3">
        <v>0.05</v>
      </c>
      <c r="M770" s="3">
        <v>-0.11071779892325838</v>
      </c>
    </row>
    <row r="771" spans="11:13" x14ac:dyDescent="0.25">
      <c r="K771">
        <v>743</v>
      </c>
      <c r="L771" s="3">
        <v>0.05</v>
      </c>
      <c r="M771" s="3">
        <v>-0.11071779892325838</v>
      </c>
    </row>
    <row r="772" spans="11:13" x14ac:dyDescent="0.25">
      <c r="K772">
        <v>744</v>
      </c>
      <c r="L772" s="3">
        <v>0.05</v>
      </c>
      <c r="M772" s="3">
        <v>-0.11071779892325838</v>
      </c>
    </row>
    <row r="773" spans="11:13" x14ac:dyDescent="0.25">
      <c r="K773">
        <v>745</v>
      </c>
      <c r="L773" s="3">
        <v>0.05</v>
      </c>
      <c r="M773" s="3">
        <v>-0.11071779892325838</v>
      </c>
    </row>
    <row r="774" spans="11:13" x14ac:dyDescent="0.25">
      <c r="K774">
        <v>746</v>
      </c>
      <c r="L774" s="3">
        <v>0.05</v>
      </c>
      <c r="M774" s="3">
        <v>-0.11071779892325838</v>
      </c>
    </row>
    <row r="775" spans="11:13" x14ac:dyDescent="0.25">
      <c r="K775">
        <v>747</v>
      </c>
      <c r="L775" s="3">
        <v>0.05</v>
      </c>
      <c r="M775" s="3">
        <v>-0.11071779892325838</v>
      </c>
    </row>
    <row r="776" spans="11:13" x14ac:dyDescent="0.25">
      <c r="K776">
        <v>748</v>
      </c>
      <c r="L776" s="3">
        <v>0.05</v>
      </c>
      <c r="M776" s="3">
        <v>-0.11071779892325838</v>
      </c>
    </row>
    <row r="777" spans="11:13" x14ac:dyDescent="0.25">
      <c r="K777">
        <v>749</v>
      </c>
      <c r="L777" s="3">
        <v>0.05</v>
      </c>
      <c r="M777" s="3">
        <v>-0.11071779892325838</v>
      </c>
    </row>
    <row r="778" spans="11:13" x14ac:dyDescent="0.25">
      <c r="K778">
        <v>750</v>
      </c>
      <c r="L778" s="3">
        <v>0.05</v>
      </c>
      <c r="M778" s="3">
        <v>-0.11071779892325838</v>
      </c>
    </row>
    <row r="779" spans="11:13" x14ac:dyDescent="0.25">
      <c r="K779">
        <v>751</v>
      </c>
      <c r="L779" s="3">
        <v>0.05</v>
      </c>
      <c r="M779" s="3">
        <v>-0.11071779892325838</v>
      </c>
    </row>
    <row r="780" spans="11:13" x14ac:dyDescent="0.25">
      <c r="K780">
        <v>752</v>
      </c>
      <c r="L780" s="3">
        <v>0.05</v>
      </c>
      <c r="M780" s="3">
        <v>-0.11071779892325838</v>
      </c>
    </row>
    <row r="781" spans="11:13" x14ac:dyDescent="0.25">
      <c r="K781">
        <v>753</v>
      </c>
      <c r="L781" s="3">
        <v>0.05</v>
      </c>
      <c r="M781" s="3">
        <v>-0.11071779892325838</v>
      </c>
    </row>
    <row r="782" spans="11:13" x14ac:dyDescent="0.25">
      <c r="K782">
        <v>754</v>
      </c>
      <c r="L782" s="3">
        <v>0.05</v>
      </c>
      <c r="M782" s="3">
        <v>-0.11071779892325838</v>
      </c>
    </row>
    <row r="783" spans="11:13" x14ac:dyDescent="0.25">
      <c r="K783">
        <v>755</v>
      </c>
      <c r="L783" s="3">
        <v>0.05</v>
      </c>
      <c r="M783" s="3">
        <v>-0.11071779892325838</v>
      </c>
    </row>
    <row r="784" spans="11:13" x14ac:dyDescent="0.25">
      <c r="K784">
        <v>756</v>
      </c>
      <c r="L784" s="3">
        <v>0.05</v>
      </c>
      <c r="M784" s="3">
        <v>-0.11071779892325838</v>
      </c>
    </row>
    <row r="785" spans="11:13" x14ac:dyDescent="0.25">
      <c r="K785">
        <v>757</v>
      </c>
      <c r="L785" s="3">
        <v>0.05</v>
      </c>
      <c r="M785" s="3">
        <v>-0.11071779892325838</v>
      </c>
    </row>
    <row r="786" spans="11:13" x14ac:dyDescent="0.25">
      <c r="K786">
        <v>758</v>
      </c>
      <c r="L786" s="3">
        <v>0.05</v>
      </c>
      <c r="M786" s="3">
        <v>-0.11071779892325838</v>
      </c>
    </row>
    <row r="787" spans="11:13" x14ac:dyDescent="0.25">
      <c r="K787">
        <v>759</v>
      </c>
      <c r="L787" s="3">
        <v>0.05</v>
      </c>
      <c r="M787" s="3">
        <v>-0.11071779892325838</v>
      </c>
    </row>
    <row r="788" spans="11:13" x14ac:dyDescent="0.25">
      <c r="K788">
        <v>760</v>
      </c>
      <c r="L788" s="3">
        <v>0.05</v>
      </c>
      <c r="M788" s="3">
        <v>-0.11071779892325838</v>
      </c>
    </row>
    <row r="789" spans="11:13" x14ac:dyDescent="0.25">
      <c r="K789">
        <v>761</v>
      </c>
      <c r="L789" s="3">
        <v>0.05</v>
      </c>
      <c r="M789" s="3">
        <v>-0.11071779892325838</v>
      </c>
    </row>
    <row r="790" spans="11:13" x14ac:dyDescent="0.25">
      <c r="K790">
        <v>762</v>
      </c>
      <c r="L790" s="3">
        <v>0.05</v>
      </c>
      <c r="M790" s="3">
        <v>-0.11071779892325838</v>
      </c>
    </row>
    <row r="791" spans="11:13" x14ac:dyDescent="0.25">
      <c r="K791">
        <v>763</v>
      </c>
      <c r="L791" s="3">
        <v>0.05</v>
      </c>
      <c r="M791" s="3">
        <v>-0.11071779892325838</v>
      </c>
    </row>
    <row r="792" spans="11:13" x14ac:dyDescent="0.25">
      <c r="K792">
        <v>764</v>
      </c>
      <c r="L792" s="3">
        <v>0.05</v>
      </c>
      <c r="M792" s="3">
        <v>-0.11071779892325838</v>
      </c>
    </row>
    <row r="793" spans="11:13" x14ac:dyDescent="0.25">
      <c r="K793">
        <v>765</v>
      </c>
      <c r="L793" s="3">
        <v>0.05</v>
      </c>
      <c r="M793" s="3">
        <v>-0.11071779892325838</v>
      </c>
    </row>
    <row r="794" spans="11:13" x14ac:dyDescent="0.25">
      <c r="K794">
        <v>766</v>
      </c>
      <c r="L794" s="3">
        <v>0.05</v>
      </c>
      <c r="M794" s="3">
        <v>-0.11071779892325838</v>
      </c>
    </row>
    <row r="795" spans="11:13" x14ac:dyDescent="0.25">
      <c r="K795">
        <v>767</v>
      </c>
      <c r="L795" s="3">
        <v>0.05</v>
      </c>
      <c r="M795" s="3">
        <v>-0.11071779892325838</v>
      </c>
    </row>
    <row r="796" spans="11:13" x14ac:dyDescent="0.25">
      <c r="K796">
        <v>768</v>
      </c>
      <c r="L796" s="3">
        <v>0.05</v>
      </c>
      <c r="M796" s="3">
        <v>-0.11071779892325838</v>
      </c>
    </row>
    <row r="797" spans="11:13" x14ac:dyDescent="0.25">
      <c r="K797">
        <v>769</v>
      </c>
      <c r="L797" s="3">
        <v>0.05</v>
      </c>
      <c r="M797" s="3">
        <v>-0.11071779892325838</v>
      </c>
    </row>
    <row r="798" spans="11:13" x14ac:dyDescent="0.25">
      <c r="K798">
        <v>770</v>
      </c>
      <c r="L798" s="3">
        <v>0.05</v>
      </c>
      <c r="M798" s="3">
        <v>-0.11071779892325838</v>
      </c>
    </row>
    <row r="799" spans="11:13" x14ac:dyDescent="0.25">
      <c r="K799">
        <v>771</v>
      </c>
      <c r="L799" s="3">
        <v>0.05</v>
      </c>
      <c r="M799" s="3">
        <v>-0.11071779892325838</v>
      </c>
    </row>
    <row r="800" spans="11:13" x14ac:dyDescent="0.25">
      <c r="K800">
        <v>772</v>
      </c>
      <c r="L800" s="3">
        <v>0.05</v>
      </c>
      <c r="M800" s="3">
        <v>-0.11071779892325838</v>
      </c>
    </row>
    <row r="801" spans="11:13" x14ac:dyDescent="0.25">
      <c r="K801">
        <v>773</v>
      </c>
      <c r="L801" s="3">
        <v>0.05</v>
      </c>
      <c r="M801" s="3">
        <v>-0.11071779892325838</v>
      </c>
    </row>
    <row r="802" spans="11:13" x14ac:dyDescent="0.25">
      <c r="K802">
        <v>774</v>
      </c>
      <c r="L802" s="3">
        <v>0.05</v>
      </c>
      <c r="M802" s="3">
        <v>-0.11071779892325838</v>
      </c>
    </row>
    <row r="803" spans="11:13" x14ac:dyDescent="0.25">
      <c r="K803">
        <v>775</v>
      </c>
      <c r="L803" s="3">
        <v>0.05</v>
      </c>
      <c r="M803" s="3">
        <v>-0.11071779892325838</v>
      </c>
    </row>
    <row r="804" spans="11:13" x14ac:dyDescent="0.25">
      <c r="K804">
        <v>776</v>
      </c>
      <c r="L804" s="3">
        <v>0.05</v>
      </c>
      <c r="M804" s="3">
        <v>-0.11071779892325838</v>
      </c>
    </row>
    <row r="805" spans="11:13" x14ac:dyDescent="0.25">
      <c r="K805">
        <v>777</v>
      </c>
      <c r="L805" s="3">
        <v>0.05</v>
      </c>
      <c r="M805" s="3">
        <v>-0.11071779892325838</v>
      </c>
    </row>
    <row r="806" spans="11:13" x14ac:dyDescent="0.25">
      <c r="K806">
        <v>778</v>
      </c>
      <c r="L806" s="3">
        <v>0.05</v>
      </c>
      <c r="M806" s="3">
        <v>-0.11071779892325838</v>
      </c>
    </row>
    <row r="807" spans="11:13" x14ac:dyDescent="0.25">
      <c r="K807">
        <v>779</v>
      </c>
      <c r="L807" s="3">
        <v>0.05</v>
      </c>
      <c r="M807" s="3">
        <v>-0.11071779892325838</v>
      </c>
    </row>
    <row r="808" spans="11:13" x14ac:dyDescent="0.25">
      <c r="K808">
        <v>780</v>
      </c>
      <c r="L808" s="3">
        <v>0.05</v>
      </c>
      <c r="M808" s="3">
        <v>-0.11071779892325838</v>
      </c>
    </row>
    <row r="809" spans="11:13" x14ac:dyDescent="0.25">
      <c r="K809">
        <v>781</v>
      </c>
      <c r="L809" s="3">
        <v>0.05</v>
      </c>
      <c r="M809" s="3">
        <v>-0.11071779892325838</v>
      </c>
    </row>
    <row r="810" spans="11:13" x14ac:dyDescent="0.25">
      <c r="K810">
        <v>782</v>
      </c>
      <c r="L810" s="3">
        <v>0.05</v>
      </c>
      <c r="M810" s="3">
        <v>-0.11071779892325838</v>
      </c>
    </row>
    <row r="811" spans="11:13" x14ac:dyDescent="0.25">
      <c r="K811">
        <v>783</v>
      </c>
      <c r="L811" s="3">
        <v>0.05</v>
      </c>
      <c r="M811" s="3">
        <v>-0.11071779892325838</v>
      </c>
    </row>
    <row r="812" spans="11:13" x14ac:dyDescent="0.25">
      <c r="K812">
        <v>784</v>
      </c>
      <c r="L812" s="3">
        <v>0.05</v>
      </c>
      <c r="M812" s="3">
        <v>-0.11071779892325838</v>
      </c>
    </row>
    <row r="813" spans="11:13" x14ac:dyDescent="0.25">
      <c r="K813">
        <v>785</v>
      </c>
      <c r="L813" s="3">
        <v>0.05</v>
      </c>
      <c r="M813" s="3">
        <v>-0.11071779892325838</v>
      </c>
    </row>
    <row r="814" spans="11:13" x14ac:dyDescent="0.25">
      <c r="K814">
        <v>786</v>
      </c>
      <c r="L814" s="3">
        <v>0.05</v>
      </c>
      <c r="M814" s="3">
        <v>-0.11071779892325838</v>
      </c>
    </row>
    <row r="815" spans="11:13" x14ac:dyDescent="0.25">
      <c r="K815">
        <v>787</v>
      </c>
      <c r="L815" s="3">
        <v>0.05</v>
      </c>
      <c r="M815" s="3">
        <v>-0.11071779892325838</v>
      </c>
    </row>
    <row r="816" spans="11:13" x14ac:dyDescent="0.25">
      <c r="K816">
        <v>788</v>
      </c>
      <c r="L816" s="3">
        <v>0.05</v>
      </c>
      <c r="M816" s="3">
        <v>-0.11071779892325838</v>
      </c>
    </row>
    <row r="817" spans="11:13" x14ac:dyDescent="0.25">
      <c r="K817">
        <v>789</v>
      </c>
      <c r="L817" s="3">
        <v>0.05</v>
      </c>
      <c r="M817" s="3">
        <v>-0.11071779892325838</v>
      </c>
    </row>
    <row r="818" spans="11:13" x14ac:dyDescent="0.25">
      <c r="K818">
        <v>790</v>
      </c>
      <c r="L818" s="3">
        <v>0.05</v>
      </c>
      <c r="M818" s="3">
        <v>-0.11071779892325838</v>
      </c>
    </row>
    <row r="819" spans="11:13" x14ac:dyDescent="0.25">
      <c r="K819">
        <v>791</v>
      </c>
      <c r="L819" s="3">
        <v>0.05</v>
      </c>
      <c r="M819" s="3">
        <v>-0.11071779892325838</v>
      </c>
    </row>
    <row r="820" spans="11:13" x14ac:dyDescent="0.25">
      <c r="K820">
        <v>792</v>
      </c>
      <c r="L820" s="3">
        <v>0.05</v>
      </c>
      <c r="M820" s="3">
        <v>-0.11071779892325838</v>
      </c>
    </row>
    <row r="821" spans="11:13" x14ac:dyDescent="0.25">
      <c r="K821">
        <v>793</v>
      </c>
      <c r="L821" s="3">
        <v>0.05</v>
      </c>
      <c r="M821" s="3">
        <v>-0.11071779892325838</v>
      </c>
    </row>
    <row r="822" spans="11:13" x14ac:dyDescent="0.25">
      <c r="K822">
        <v>794</v>
      </c>
      <c r="L822" s="3">
        <v>0.05</v>
      </c>
      <c r="M822" s="3">
        <v>-0.11071779892325838</v>
      </c>
    </row>
    <row r="823" spans="11:13" x14ac:dyDescent="0.25">
      <c r="K823">
        <v>795</v>
      </c>
      <c r="L823" s="3">
        <v>0.05</v>
      </c>
      <c r="M823" s="3">
        <v>-0.11071779892325838</v>
      </c>
    </row>
    <row r="824" spans="11:13" x14ac:dyDescent="0.25">
      <c r="K824">
        <v>796</v>
      </c>
      <c r="L824" s="3">
        <v>0.05</v>
      </c>
      <c r="M824" s="3">
        <v>-0.11071779892325838</v>
      </c>
    </row>
    <row r="825" spans="11:13" x14ac:dyDescent="0.25">
      <c r="K825">
        <v>797</v>
      </c>
      <c r="L825" s="3">
        <v>0.05</v>
      </c>
      <c r="M825" s="3">
        <v>-0.11071779892325838</v>
      </c>
    </row>
    <row r="826" spans="11:13" x14ac:dyDescent="0.25">
      <c r="K826">
        <v>798</v>
      </c>
      <c r="L826" s="3">
        <v>0.05</v>
      </c>
      <c r="M826" s="3">
        <v>-0.11071779892325838</v>
      </c>
    </row>
    <row r="827" spans="11:13" x14ac:dyDescent="0.25">
      <c r="K827">
        <v>799</v>
      </c>
      <c r="L827" s="3">
        <v>0.05</v>
      </c>
      <c r="M827" s="3">
        <v>-0.11071779892325838</v>
      </c>
    </row>
    <row r="828" spans="11:13" x14ac:dyDescent="0.25">
      <c r="K828">
        <v>800</v>
      </c>
      <c r="L828" s="3">
        <v>0.05</v>
      </c>
      <c r="M828" s="3">
        <v>-0.11071779892325838</v>
      </c>
    </row>
    <row r="829" spans="11:13" x14ac:dyDescent="0.25">
      <c r="K829">
        <v>801</v>
      </c>
      <c r="L829" s="3">
        <v>0.05</v>
      </c>
      <c r="M829" s="3">
        <v>-0.11071779892325838</v>
      </c>
    </row>
    <row r="830" spans="11:13" x14ac:dyDescent="0.25">
      <c r="K830">
        <v>802</v>
      </c>
      <c r="L830" s="3">
        <v>0.05</v>
      </c>
      <c r="M830" s="3">
        <v>-0.11071779892325838</v>
      </c>
    </row>
    <row r="831" spans="11:13" x14ac:dyDescent="0.25">
      <c r="K831">
        <v>803</v>
      </c>
      <c r="L831" s="3">
        <v>0.05</v>
      </c>
      <c r="M831" s="3">
        <v>-0.11071779892325838</v>
      </c>
    </row>
    <row r="832" spans="11:13" x14ac:dyDescent="0.25">
      <c r="K832">
        <v>804</v>
      </c>
      <c r="L832" s="3">
        <v>0.05</v>
      </c>
      <c r="M832" s="3">
        <v>-0.11071779892325838</v>
      </c>
    </row>
    <row r="833" spans="11:13" x14ac:dyDescent="0.25">
      <c r="K833">
        <v>805</v>
      </c>
      <c r="L833" s="3">
        <v>0.05</v>
      </c>
      <c r="M833" s="3">
        <v>-0.11071779892325838</v>
      </c>
    </row>
    <row r="834" spans="11:13" x14ac:dyDescent="0.25">
      <c r="K834">
        <v>806</v>
      </c>
      <c r="L834" s="3">
        <v>0.05</v>
      </c>
      <c r="M834" s="3">
        <v>-0.11071779892325838</v>
      </c>
    </row>
    <row r="835" spans="11:13" x14ac:dyDescent="0.25">
      <c r="K835">
        <v>807</v>
      </c>
      <c r="L835" s="3">
        <v>0.05</v>
      </c>
      <c r="M835" s="3">
        <v>-0.11071779892325838</v>
      </c>
    </row>
    <row r="836" spans="11:13" x14ac:dyDescent="0.25">
      <c r="K836">
        <v>808</v>
      </c>
      <c r="L836" s="3">
        <v>0.05</v>
      </c>
      <c r="M836" s="3">
        <v>-0.11071779892325838</v>
      </c>
    </row>
    <row r="837" spans="11:13" x14ac:dyDescent="0.25">
      <c r="K837">
        <v>809</v>
      </c>
      <c r="L837" s="3">
        <v>0.05</v>
      </c>
      <c r="M837" s="3">
        <v>-0.11071779892325838</v>
      </c>
    </row>
    <row r="838" spans="11:13" x14ac:dyDescent="0.25">
      <c r="K838">
        <v>810</v>
      </c>
      <c r="L838" s="3">
        <v>0.05</v>
      </c>
      <c r="M838" s="3">
        <v>-0.11071779892325838</v>
      </c>
    </row>
    <row r="839" spans="11:13" x14ac:dyDescent="0.25">
      <c r="K839">
        <v>811</v>
      </c>
      <c r="L839" s="3">
        <v>0.05</v>
      </c>
      <c r="M839" s="3">
        <v>-0.11071779892325838</v>
      </c>
    </row>
    <row r="840" spans="11:13" x14ac:dyDescent="0.25">
      <c r="K840">
        <v>812</v>
      </c>
      <c r="L840" s="3">
        <v>0.05</v>
      </c>
      <c r="M840" s="3">
        <v>-0.11071779892325838</v>
      </c>
    </row>
    <row r="841" spans="11:13" x14ac:dyDescent="0.25">
      <c r="K841">
        <v>813</v>
      </c>
      <c r="L841" s="3">
        <v>0.05</v>
      </c>
      <c r="M841" s="3">
        <v>-0.11071779892325838</v>
      </c>
    </row>
    <row r="842" spans="11:13" x14ac:dyDescent="0.25">
      <c r="K842">
        <v>814</v>
      </c>
      <c r="L842" s="3">
        <v>0.05</v>
      </c>
      <c r="M842" s="3">
        <v>-0.11071779892325838</v>
      </c>
    </row>
    <row r="843" spans="11:13" x14ac:dyDescent="0.25">
      <c r="K843">
        <v>815</v>
      </c>
      <c r="L843" s="3">
        <v>0.05</v>
      </c>
      <c r="M843" s="3">
        <v>-0.11071779892325838</v>
      </c>
    </row>
    <row r="844" spans="11:13" x14ac:dyDescent="0.25">
      <c r="K844">
        <v>816</v>
      </c>
      <c r="L844" s="3">
        <v>0.05</v>
      </c>
      <c r="M844" s="3">
        <v>-0.11071779892325838</v>
      </c>
    </row>
    <row r="845" spans="11:13" x14ac:dyDescent="0.25">
      <c r="K845">
        <v>817</v>
      </c>
      <c r="L845" s="3">
        <v>0.05</v>
      </c>
      <c r="M845" s="3">
        <v>-0.11071779892325838</v>
      </c>
    </row>
    <row r="846" spans="11:13" x14ac:dyDescent="0.25">
      <c r="K846">
        <v>818</v>
      </c>
      <c r="L846" s="3">
        <v>0.05</v>
      </c>
      <c r="M846" s="3">
        <v>-0.11071779892325838</v>
      </c>
    </row>
    <row r="847" spans="11:13" x14ac:dyDescent="0.25">
      <c r="K847">
        <v>819</v>
      </c>
      <c r="L847" s="3">
        <v>0.05</v>
      </c>
      <c r="M847" s="3">
        <v>-0.11071779892325838</v>
      </c>
    </row>
    <row r="848" spans="11:13" x14ac:dyDescent="0.25">
      <c r="K848">
        <v>820</v>
      </c>
      <c r="L848" s="3">
        <v>0.05</v>
      </c>
      <c r="M848" s="3">
        <v>-0.11071779892325838</v>
      </c>
    </row>
    <row r="849" spans="11:13" x14ac:dyDescent="0.25">
      <c r="K849">
        <v>821</v>
      </c>
      <c r="L849" s="3">
        <v>0.05</v>
      </c>
      <c r="M849" s="3">
        <v>-0.11071779892325838</v>
      </c>
    </row>
    <row r="850" spans="11:13" x14ac:dyDescent="0.25">
      <c r="K850">
        <v>822</v>
      </c>
      <c r="L850" s="3">
        <v>0.05</v>
      </c>
      <c r="M850" s="3">
        <v>-0.11071779892325838</v>
      </c>
    </row>
    <row r="851" spans="11:13" x14ac:dyDescent="0.25">
      <c r="K851">
        <v>823</v>
      </c>
      <c r="L851" s="3">
        <v>0.05</v>
      </c>
      <c r="M851" s="3">
        <v>-0.11071779892325838</v>
      </c>
    </row>
    <row r="852" spans="11:13" x14ac:dyDescent="0.25">
      <c r="K852">
        <v>824</v>
      </c>
      <c r="L852" s="3">
        <v>0.05</v>
      </c>
      <c r="M852" s="3">
        <v>-0.11071779892325838</v>
      </c>
    </row>
    <row r="853" spans="11:13" x14ac:dyDescent="0.25">
      <c r="K853">
        <v>825</v>
      </c>
      <c r="L853" s="3">
        <v>0.05</v>
      </c>
      <c r="M853" s="3">
        <v>-0.11071779892325838</v>
      </c>
    </row>
    <row r="854" spans="11:13" x14ac:dyDescent="0.25">
      <c r="K854">
        <v>826</v>
      </c>
      <c r="L854" s="3">
        <v>0.05</v>
      </c>
      <c r="M854" s="3">
        <v>-0.11071779892325838</v>
      </c>
    </row>
    <row r="855" spans="11:13" x14ac:dyDescent="0.25">
      <c r="K855">
        <v>827</v>
      </c>
      <c r="L855" s="3">
        <v>0.05</v>
      </c>
      <c r="M855" s="3">
        <v>-0.11071779892325838</v>
      </c>
    </row>
    <row r="856" spans="11:13" x14ac:dyDescent="0.25">
      <c r="K856">
        <v>828</v>
      </c>
      <c r="L856" s="3">
        <v>0.05</v>
      </c>
      <c r="M856" s="3">
        <v>-0.11071779892325838</v>
      </c>
    </row>
    <row r="857" spans="11:13" x14ac:dyDescent="0.25">
      <c r="K857">
        <v>829</v>
      </c>
      <c r="L857" s="3">
        <v>0.05</v>
      </c>
      <c r="M857" s="3">
        <v>-0.11071779892325838</v>
      </c>
    </row>
    <row r="858" spans="11:13" x14ac:dyDescent="0.25">
      <c r="K858">
        <v>830</v>
      </c>
      <c r="L858" s="3">
        <v>0.05</v>
      </c>
      <c r="M858" s="3">
        <v>-0.11071779892325838</v>
      </c>
    </row>
    <row r="859" spans="11:13" x14ac:dyDescent="0.25">
      <c r="K859">
        <v>831</v>
      </c>
      <c r="L859" s="3">
        <v>0.05</v>
      </c>
      <c r="M859" s="3">
        <v>-0.11071779892325838</v>
      </c>
    </row>
    <row r="860" spans="11:13" x14ac:dyDescent="0.25">
      <c r="K860">
        <v>832</v>
      </c>
      <c r="L860" s="3">
        <v>0.05</v>
      </c>
      <c r="M860" s="3">
        <v>-0.11071779892325838</v>
      </c>
    </row>
    <row r="861" spans="11:13" x14ac:dyDescent="0.25">
      <c r="K861">
        <v>833</v>
      </c>
      <c r="L861" s="3">
        <v>0.05</v>
      </c>
      <c r="M861" s="3">
        <v>-0.11071779892325838</v>
      </c>
    </row>
    <row r="862" spans="11:13" x14ac:dyDescent="0.25">
      <c r="K862">
        <v>834</v>
      </c>
      <c r="L862" s="3">
        <v>0.05</v>
      </c>
      <c r="M862" s="3">
        <v>-0.11071779892325838</v>
      </c>
    </row>
    <row r="863" spans="11:13" x14ac:dyDescent="0.25">
      <c r="K863">
        <v>835</v>
      </c>
      <c r="L863" s="3">
        <v>0.05</v>
      </c>
      <c r="M863" s="3">
        <v>-0.11071779892325838</v>
      </c>
    </row>
    <row r="864" spans="11:13" x14ac:dyDescent="0.25">
      <c r="K864">
        <v>836</v>
      </c>
      <c r="L864" s="3">
        <v>0.05</v>
      </c>
      <c r="M864" s="3">
        <v>-0.11071779892325838</v>
      </c>
    </row>
    <row r="865" spans="11:13" x14ac:dyDescent="0.25">
      <c r="K865">
        <v>837</v>
      </c>
      <c r="L865" s="3">
        <v>0.05</v>
      </c>
      <c r="M865" s="3">
        <v>-0.11071779892325838</v>
      </c>
    </row>
    <row r="866" spans="11:13" x14ac:dyDescent="0.25">
      <c r="K866">
        <v>838</v>
      </c>
      <c r="L866" s="3">
        <v>0.05</v>
      </c>
      <c r="M866" s="3">
        <v>-0.11071779892325838</v>
      </c>
    </row>
    <row r="867" spans="11:13" x14ac:dyDescent="0.25">
      <c r="K867">
        <v>839</v>
      </c>
      <c r="L867" s="3">
        <v>0.05</v>
      </c>
      <c r="M867" s="3">
        <v>-0.11071779892325838</v>
      </c>
    </row>
    <row r="868" spans="11:13" x14ac:dyDescent="0.25">
      <c r="K868">
        <v>840</v>
      </c>
      <c r="L868" s="3">
        <v>0.05</v>
      </c>
      <c r="M868" s="3">
        <v>-0.11071779892325838</v>
      </c>
    </row>
    <row r="869" spans="11:13" x14ac:dyDescent="0.25">
      <c r="K869">
        <v>841</v>
      </c>
      <c r="L869" s="3">
        <v>0.05</v>
      </c>
      <c r="M869" s="3">
        <v>-0.11071779892325838</v>
      </c>
    </row>
    <row r="870" spans="11:13" x14ac:dyDescent="0.25">
      <c r="K870">
        <v>842</v>
      </c>
      <c r="L870" s="3">
        <v>0.05</v>
      </c>
      <c r="M870" s="3">
        <v>-0.11071779892325838</v>
      </c>
    </row>
    <row r="871" spans="11:13" x14ac:dyDescent="0.25">
      <c r="K871">
        <v>843</v>
      </c>
      <c r="L871" s="3">
        <v>0.05</v>
      </c>
      <c r="M871" s="3">
        <v>-0.11071779892325838</v>
      </c>
    </row>
    <row r="872" spans="11:13" x14ac:dyDescent="0.25">
      <c r="K872">
        <v>844</v>
      </c>
      <c r="L872" s="3">
        <v>0.05</v>
      </c>
      <c r="M872" s="3">
        <v>-0.11071779892325838</v>
      </c>
    </row>
    <row r="873" spans="11:13" x14ac:dyDescent="0.25">
      <c r="K873">
        <v>845</v>
      </c>
      <c r="L873" s="3">
        <v>0.05</v>
      </c>
      <c r="M873" s="3">
        <v>-0.11071779892325838</v>
      </c>
    </row>
    <row r="874" spans="11:13" x14ac:dyDescent="0.25">
      <c r="K874">
        <v>846</v>
      </c>
      <c r="L874" s="3">
        <v>0.05</v>
      </c>
      <c r="M874" s="3">
        <v>-0.11071779892325838</v>
      </c>
    </row>
    <row r="875" spans="11:13" x14ac:dyDescent="0.25">
      <c r="K875">
        <v>847</v>
      </c>
      <c r="L875" s="3">
        <v>0.05</v>
      </c>
      <c r="M875" s="3">
        <v>-0.11071779892325838</v>
      </c>
    </row>
    <row r="876" spans="11:13" x14ac:dyDescent="0.25">
      <c r="K876">
        <v>848</v>
      </c>
      <c r="L876" s="3">
        <v>0.05</v>
      </c>
      <c r="M876" s="3">
        <v>-0.11071779892325838</v>
      </c>
    </row>
    <row r="877" spans="11:13" x14ac:dyDescent="0.25">
      <c r="K877">
        <v>849</v>
      </c>
      <c r="L877" s="3">
        <v>0.05</v>
      </c>
      <c r="M877" s="3">
        <v>-0.11071779892325838</v>
      </c>
    </row>
    <row r="878" spans="11:13" x14ac:dyDescent="0.25">
      <c r="K878">
        <v>850</v>
      </c>
      <c r="L878" s="3">
        <v>0.05</v>
      </c>
      <c r="M878" s="3">
        <v>-0.11071779892325838</v>
      </c>
    </row>
    <row r="879" spans="11:13" x14ac:dyDescent="0.25">
      <c r="K879">
        <v>851</v>
      </c>
      <c r="L879" s="3">
        <v>0.05</v>
      </c>
      <c r="M879" s="3">
        <v>-0.11071779892325838</v>
      </c>
    </row>
    <row r="880" spans="11:13" x14ac:dyDescent="0.25">
      <c r="K880">
        <v>852</v>
      </c>
      <c r="L880" s="3">
        <v>0.05</v>
      </c>
      <c r="M880" s="3">
        <v>-0.11071779892325838</v>
      </c>
    </row>
    <row r="881" spans="11:13" x14ac:dyDescent="0.25">
      <c r="K881">
        <v>853</v>
      </c>
      <c r="L881" s="3">
        <v>0.05</v>
      </c>
      <c r="M881" s="3">
        <v>-0.11071779892325838</v>
      </c>
    </row>
    <row r="882" spans="11:13" x14ac:dyDescent="0.25">
      <c r="K882">
        <v>854</v>
      </c>
      <c r="L882" s="3">
        <v>0.05</v>
      </c>
      <c r="M882" s="3">
        <v>-0.11071779892325838</v>
      </c>
    </row>
    <row r="883" spans="11:13" x14ac:dyDescent="0.25">
      <c r="K883">
        <v>855</v>
      </c>
      <c r="L883" s="3">
        <v>0.05</v>
      </c>
      <c r="M883" s="3">
        <v>-0.11071779892325838</v>
      </c>
    </row>
    <row r="884" spans="11:13" x14ac:dyDescent="0.25">
      <c r="K884">
        <v>856</v>
      </c>
      <c r="L884" s="3">
        <v>0.05</v>
      </c>
      <c r="M884" s="3">
        <v>-0.11071779892325838</v>
      </c>
    </row>
    <row r="885" spans="11:13" x14ac:dyDescent="0.25">
      <c r="K885">
        <v>857</v>
      </c>
      <c r="L885" s="3">
        <v>0.05</v>
      </c>
      <c r="M885" s="3">
        <v>-0.11071779892325838</v>
      </c>
    </row>
    <row r="886" spans="11:13" x14ac:dyDescent="0.25">
      <c r="K886">
        <v>858</v>
      </c>
      <c r="L886" s="3">
        <v>0.05</v>
      </c>
      <c r="M886" s="3">
        <v>-0.11071779892325838</v>
      </c>
    </row>
    <row r="887" spans="11:13" x14ac:dyDescent="0.25">
      <c r="K887">
        <v>859</v>
      </c>
      <c r="L887" s="3">
        <v>0.05</v>
      </c>
      <c r="M887" s="3">
        <v>-0.11071779892325838</v>
      </c>
    </row>
    <row r="888" spans="11:13" x14ac:dyDescent="0.25">
      <c r="K888">
        <v>860</v>
      </c>
      <c r="L888" s="3">
        <v>0.05</v>
      </c>
      <c r="M888" s="3">
        <v>-0.11071779892325838</v>
      </c>
    </row>
    <row r="889" spans="11:13" x14ac:dyDescent="0.25">
      <c r="K889">
        <v>861</v>
      </c>
      <c r="L889" s="3">
        <v>0.05</v>
      </c>
      <c r="M889" s="3">
        <v>-0.11071779892325838</v>
      </c>
    </row>
    <row r="890" spans="11:13" x14ac:dyDescent="0.25">
      <c r="K890">
        <v>862</v>
      </c>
      <c r="L890" s="3">
        <v>0.05</v>
      </c>
      <c r="M890" s="3">
        <v>-0.11071779892325838</v>
      </c>
    </row>
    <row r="891" spans="11:13" x14ac:dyDescent="0.25">
      <c r="K891">
        <v>863</v>
      </c>
      <c r="L891" s="3">
        <v>0.05</v>
      </c>
      <c r="M891" s="3">
        <v>-0.11071779892325838</v>
      </c>
    </row>
    <row r="892" spans="11:13" x14ac:dyDescent="0.25">
      <c r="K892">
        <v>864</v>
      </c>
      <c r="L892" s="3">
        <v>0.05</v>
      </c>
      <c r="M892" s="3">
        <v>-0.11071779892325838</v>
      </c>
    </row>
    <row r="893" spans="11:13" x14ac:dyDescent="0.25">
      <c r="K893">
        <v>865</v>
      </c>
      <c r="L893" s="3">
        <v>0.05</v>
      </c>
      <c r="M893" s="3">
        <v>-0.11071779892325838</v>
      </c>
    </row>
    <row r="894" spans="11:13" x14ac:dyDescent="0.25">
      <c r="K894">
        <v>866</v>
      </c>
      <c r="L894" s="3">
        <v>0.05</v>
      </c>
      <c r="M894" s="3">
        <v>-0.11071779892325838</v>
      </c>
    </row>
    <row r="895" spans="11:13" x14ac:dyDescent="0.25">
      <c r="K895">
        <v>867</v>
      </c>
      <c r="L895" s="3">
        <v>0.05</v>
      </c>
      <c r="M895" s="3">
        <v>-0.11071779892325838</v>
      </c>
    </row>
    <row r="896" spans="11:13" x14ac:dyDescent="0.25">
      <c r="K896">
        <v>868</v>
      </c>
      <c r="L896" s="3">
        <v>0.05</v>
      </c>
      <c r="M896" s="3">
        <v>-0.11071779892325838</v>
      </c>
    </row>
    <row r="897" spans="11:13" x14ac:dyDescent="0.25">
      <c r="K897">
        <v>869</v>
      </c>
      <c r="L897" s="3">
        <v>0.05</v>
      </c>
      <c r="M897" s="3">
        <v>-0.11071779892325838</v>
      </c>
    </row>
    <row r="898" spans="11:13" x14ac:dyDescent="0.25">
      <c r="K898">
        <v>870</v>
      </c>
      <c r="L898" s="3">
        <v>0.05</v>
      </c>
      <c r="M898" s="3">
        <v>-0.11071779892325838</v>
      </c>
    </row>
    <row r="899" spans="11:13" x14ac:dyDescent="0.25">
      <c r="K899">
        <v>871</v>
      </c>
      <c r="L899" s="3">
        <v>0.05</v>
      </c>
      <c r="M899" s="3">
        <v>-0.11071779892325838</v>
      </c>
    </row>
    <row r="900" spans="11:13" x14ac:dyDescent="0.25">
      <c r="K900">
        <v>872</v>
      </c>
      <c r="L900" s="3">
        <v>0.05</v>
      </c>
      <c r="M900" s="3">
        <v>-0.11071779892325838</v>
      </c>
    </row>
    <row r="901" spans="11:13" x14ac:dyDescent="0.25">
      <c r="K901">
        <v>873</v>
      </c>
      <c r="L901" s="3">
        <v>0.05</v>
      </c>
      <c r="M901" s="3">
        <v>-0.11071779892325838</v>
      </c>
    </row>
    <row r="902" spans="11:13" x14ac:dyDescent="0.25">
      <c r="K902">
        <v>874</v>
      </c>
      <c r="L902" s="3">
        <v>0.05</v>
      </c>
      <c r="M902" s="3">
        <v>-0.11071779892325838</v>
      </c>
    </row>
    <row r="903" spans="11:13" x14ac:dyDescent="0.25">
      <c r="K903">
        <v>875</v>
      </c>
      <c r="L903" s="3">
        <v>0.05</v>
      </c>
      <c r="M903" s="3">
        <v>-0.11071779892325838</v>
      </c>
    </row>
    <row r="904" spans="11:13" x14ac:dyDescent="0.25">
      <c r="K904">
        <v>876</v>
      </c>
      <c r="L904" s="3">
        <v>0.05</v>
      </c>
      <c r="M904" s="3">
        <v>-0.11071779892325838</v>
      </c>
    </row>
    <row r="905" spans="11:13" x14ac:dyDescent="0.25">
      <c r="K905">
        <v>877</v>
      </c>
      <c r="L905" s="3">
        <v>0.05</v>
      </c>
      <c r="M905" s="3">
        <v>-0.11071779892325838</v>
      </c>
    </row>
    <row r="906" spans="11:13" x14ac:dyDescent="0.25">
      <c r="K906">
        <v>878</v>
      </c>
      <c r="L906" s="3">
        <v>0.05</v>
      </c>
      <c r="M906" s="3">
        <v>-0.11071779892325838</v>
      </c>
    </row>
    <row r="907" spans="11:13" x14ac:dyDescent="0.25">
      <c r="K907">
        <v>879</v>
      </c>
      <c r="L907" s="3">
        <v>0.05</v>
      </c>
      <c r="M907" s="3">
        <v>-0.11071779892325838</v>
      </c>
    </row>
    <row r="908" spans="11:13" x14ac:dyDescent="0.25">
      <c r="K908">
        <v>880</v>
      </c>
      <c r="L908" s="3">
        <v>0.05</v>
      </c>
      <c r="M908" s="3">
        <v>-0.11071779892325838</v>
      </c>
    </row>
    <row r="909" spans="11:13" x14ac:dyDescent="0.25">
      <c r="K909">
        <v>881</v>
      </c>
      <c r="L909" s="3">
        <v>0.05</v>
      </c>
      <c r="M909" s="3">
        <v>-0.11071779892325838</v>
      </c>
    </row>
    <row r="910" spans="11:13" x14ac:dyDescent="0.25">
      <c r="K910">
        <v>882</v>
      </c>
      <c r="L910" s="3">
        <v>0.05</v>
      </c>
      <c r="M910" s="3">
        <v>-0.11071779892325838</v>
      </c>
    </row>
    <row r="911" spans="11:13" x14ac:dyDescent="0.25">
      <c r="K911">
        <v>883</v>
      </c>
      <c r="L911" s="3">
        <v>0.05</v>
      </c>
      <c r="M911" s="3">
        <v>-0.11071779892325838</v>
      </c>
    </row>
    <row r="912" spans="11:13" x14ac:dyDescent="0.25">
      <c r="K912">
        <v>884</v>
      </c>
      <c r="L912" s="3">
        <v>0.05</v>
      </c>
      <c r="M912" s="3">
        <v>-0.11071779892325838</v>
      </c>
    </row>
    <row r="913" spans="11:13" x14ac:dyDescent="0.25">
      <c r="K913">
        <v>885</v>
      </c>
      <c r="L913" s="3">
        <v>0.05</v>
      </c>
      <c r="M913" s="3">
        <v>-0.11071779892325838</v>
      </c>
    </row>
    <row r="914" spans="11:13" x14ac:dyDescent="0.25">
      <c r="K914">
        <v>886</v>
      </c>
      <c r="L914" s="3">
        <v>0.05</v>
      </c>
      <c r="M914" s="3">
        <v>-0.11071779892325838</v>
      </c>
    </row>
    <row r="915" spans="11:13" x14ac:dyDescent="0.25">
      <c r="K915">
        <v>887</v>
      </c>
      <c r="L915" s="3">
        <v>0.05</v>
      </c>
      <c r="M915" s="3">
        <v>-0.11071779892325838</v>
      </c>
    </row>
    <row r="916" spans="11:13" x14ac:dyDescent="0.25">
      <c r="K916">
        <v>888</v>
      </c>
      <c r="L916" s="3">
        <v>0.05</v>
      </c>
      <c r="M916" s="3">
        <v>-0.11071779892325838</v>
      </c>
    </row>
    <row r="917" spans="11:13" x14ac:dyDescent="0.25">
      <c r="K917">
        <v>889</v>
      </c>
      <c r="L917" s="3">
        <v>0.05</v>
      </c>
      <c r="M917" s="3">
        <v>-0.11071779892325838</v>
      </c>
    </row>
    <row r="918" spans="11:13" x14ac:dyDescent="0.25">
      <c r="K918">
        <v>890</v>
      </c>
      <c r="L918" s="3">
        <v>0.05</v>
      </c>
      <c r="M918" s="3">
        <v>-0.11071779892325838</v>
      </c>
    </row>
    <row r="919" spans="11:13" x14ac:dyDescent="0.25">
      <c r="K919">
        <v>891</v>
      </c>
      <c r="L919" s="3">
        <v>0.05</v>
      </c>
      <c r="M919" s="3">
        <v>-0.11071779892325838</v>
      </c>
    </row>
    <row r="920" spans="11:13" x14ac:dyDescent="0.25">
      <c r="K920">
        <v>892</v>
      </c>
      <c r="L920" s="3">
        <v>0.05</v>
      </c>
      <c r="M920" s="3">
        <v>-0.11071779892325838</v>
      </c>
    </row>
    <row r="921" spans="11:13" x14ac:dyDescent="0.25">
      <c r="K921">
        <v>893</v>
      </c>
      <c r="L921" s="3">
        <v>0.05</v>
      </c>
      <c r="M921" s="3">
        <v>-0.11071779892325838</v>
      </c>
    </row>
    <row r="922" spans="11:13" x14ac:dyDescent="0.25">
      <c r="K922">
        <v>894</v>
      </c>
      <c r="L922" s="3">
        <v>0.05</v>
      </c>
      <c r="M922" s="3">
        <v>-0.11071779892325838</v>
      </c>
    </row>
    <row r="923" spans="11:13" x14ac:dyDescent="0.25">
      <c r="K923">
        <v>895</v>
      </c>
      <c r="L923" s="3">
        <v>0.05</v>
      </c>
      <c r="M923" s="3">
        <v>-0.11071779892325838</v>
      </c>
    </row>
    <row r="924" spans="11:13" x14ac:dyDescent="0.25">
      <c r="K924">
        <v>896</v>
      </c>
      <c r="L924" s="3">
        <v>0.05</v>
      </c>
      <c r="M924" s="3">
        <v>-0.11071779892325838</v>
      </c>
    </row>
    <row r="925" spans="11:13" x14ac:dyDescent="0.25">
      <c r="K925">
        <v>897</v>
      </c>
      <c r="L925" s="3">
        <v>0.05</v>
      </c>
      <c r="M925" s="3">
        <v>-0.11071779892325838</v>
      </c>
    </row>
    <row r="926" spans="11:13" x14ac:dyDescent="0.25">
      <c r="K926">
        <v>898</v>
      </c>
      <c r="L926" s="3">
        <v>0.05</v>
      </c>
      <c r="M926" s="3">
        <v>-0.11071779892325838</v>
      </c>
    </row>
    <row r="927" spans="11:13" x14ac:dyDescent="0.25">
      <c r="K927">
        <v>899</v>
      </c>
      <c r="L927" s="3">
        <v>0.05</v>
      </c>
      <c r="M927" s="3">
        <v>-0.11071779892325838</v>
      </c>
    </row>
    <row r="928" spans="11:13" x14ac:dyDescent="0.25">
      <c r="K928">
        <v>900</v>
      </c>
      <c r="L928" s="3">
        <v>0.05</v>
      </c>
      <c r="M928" s="3">
        <v>-0.11071779892325838</v>
      </c>
    </row>
    <row r="929" spans="11:13" x14ac:dyDescent="0.25">
      <c r="K929">
        <v>901</v>
      </c>
      <c r="L929" s="3">
        <v>0.05</v>
      </c>
      <c r="M929" s="3">
        <v>-0.11071779892325838</v>
      </c>
    </row>
    <row r="930" spans="11:13" x14ac:dyDescent="0.25">
      <c r="K930">
        <v>902</v>
      </c>
      <c r="L930" s="3">
        <v>0.05</v>
      </c>
      <c r="M930" s="3">
        <v>-0.11071779892325838</v>
      </c>
    </row>
    <row r="931" spans="11:13" x14ac:dyDescent="0.25">
      <c r="K931">
        <v>903</v>
      </c>
      <c r="L931" s="3">
        <v>0.05</v>
      </c>
      <c r="M931" s="3">
        <v>-0.11071779892325838</v>
      </c>
    </row>
    <row r="932" spans="11:13" x14ac:dyDescent="0.25">
      <c r="K932">
        <v>904</v>
      </c>
      <c r="L932" s="3">
        <v>0.05</v>
      </c>
      <c r="M932" s="3">
        <v>-0.11071779892325838</v>
      </c>
    </row>
    <row r="933" spans="11:13" x14ac:dyDescent="0.25">
      <c r="K933">
        <v>905</v>
      </c>
      <c r="L933" s="3">
        <v>0.05</v>
      </c>
      <c r="M933" s="3">
        <v>-0.11071779892325838</v>
      </c>
    </row>
    <row r="934" spans="11:13" x14ac:dyDescent="0.25">
      <c r="K934">
        <v>906</v>
      </c>
      <c r="L934" s="3">
        <v>0.05</v>
      </c>
      <c r="M934" s="3">
        <v>-0.11071779892325838</v>
      </c>
    </row>
    <row r="935" spans="11:13" x14ac:dyDescent="0.25">
      <c r="K935">
        <v>907</v>
      </c>
      <c r="L935" s="3">
        <v>0.05</v>
      </c>
      <c r="M935" s="3">
        <v>-0.11071779892325838</v>
      </c>
    </row>
    <row r="936" spans="11:13" x14ac:dyDescent="0.25">
      <c r="K936">
        <v>908</v>
      </c>
      <c r="L936" s="3">
        <v>0.05</v>
      </c>
      <c r="M936" s="3">
        <v>-0.11071779892325838</v>
      </c>
    </row>
    <row r="937" spans="11:13" x14ac:dyDescent="0.25">
      <c r="K937">
        <v>909</v>
      </c>
      <c r="L937" s="3">
        <v>0.05</v>
      </c>
      <c r="M937" s="3">
        <v>-0.11071779892325838</v>
      </c>
    </row>
    <row r="938" spans="11:13" x14ac:dyDescent="0.25">
      <c r="K938">
        <v>910</v>
      </c>
      <c r="L938" s="3">
        <v>0.05</v>
      </c>
      <c r="M938" s="3">
        <v>-0.11071779892325838</v>
      </c>
    </row>
    <row r="939" spans="11:13" x14ac:dyDescent="0.25">
      <c r="K939">
        <v>911</v>
      </c>
      <c r="L939" s="3">
        <v>0.05</v>
      </c>
      <c r="M939" s="3">
        <v>-0.11071779892325838</v>
      </c>
    </row>
    <row r="940" spans="11:13" x14ac:dyDescent="0.25">
      <c r="K940">
        <v>912</v>
      </c>
      <c r="L940" s="3">
        <v>0.05</v>
      </c>
      <c r="M940" s="3">
        <v>-0.11071779892325838</v>
      </c>
    </row>
    <row r="941" spans="11:13" x14ac:dyDescent="0.25">
      <c r="K941">
        <v>913</v>
      </c>
      <c r="L941" s="3">
        <v>0.05</v>
      </c>
      <c r="M941" s="3">
        <v>-0.11071779892325838</v>
      </c>
    </row>
    <row r="942" spans="11:13" x14ac:dyDescent="0.25">
      <c r="K942">
        <v>914</v>
      </c>
      <c r="L942" s="3">
        <v>0.05</v>
      </c>
      <c r="M942" s="3">
        <v>-0.11071779892325838</v>
      </c>
    </row>
    <row r="943" spans="11:13" x14ac:dyDescent="0.25">
      <c r="K943">
        <v>915</v>
      </c>
      <c r="L943" s="3">
        <v>0.05</v>
      </c>
      <c r="M943" s="3">
        <v>-0.11071779892325838</v>
      </c>
    </row>
    <row r="944" spans="11:13" x14ac:dyDescent="0.25">
      <c r="K944">
        <v>916</v>
      </c>
      <c r="L944" s="3">
        <v>0.05</v>
      </c>
      <c r="M944" s="3">
        <v>-0.11071779892325838</v>
      </c>
    </row>
    <row r="945" spans="11:13" x14ac:dyDescent="0.25">
      <c r="K945">
        <v>917</v>
      </c>
      <c r="L945" s="3">
        <v>0.05</v>
      </c>
      <c r="M945" s="3">
        <v>-0.11071779892325838</v>
      </c>
    </row>
    <row r="946" spans="11:13" x14ac:dyDescent="0.25">
      <c r="K946">
        <v>918</v>
      </c>
      <c r="L946" s="3">
        <v>0.05</v>
      </c>
      <c r="M946" s="3">
        <v>-0.11071779892325838</v>
      </c>
    </row>
    <row r="947" spans="11:13" x14ac:dyDescent="0.25">
      <c r="K947">
        <v>919</v>
      </c>
      <c r="L947" s="3">
        <v>0.05</v>
      </c>
      <c r="M947" s="3">
        <v>-0.11071779892325838</v>
      </c>
    </row>
    <row r="948" spans="11:13" x14ac:dyDescent="0.25">
      <c r="K948">
        <v>920</v>
      </c>
      <c r="L948" s="3">
        <v>0.05</v>
      </c>
      <c r="M948" s="3">
        <v>-0.11071779892325838</v>
      </c>
    </row>
    <row r="949" spans="11:13" x14ac:dyDescent="0.25">
      <c r="K949">
        <v>921</v>
      </c>
      <c r="L949" s="3">
        <v>0.05</v>
      </c>
      <c r="M949" s="3">
        <v>-0.11071779892325838</v>
      </c>
    </row>
    <row r="950" spans="11:13" x14ac:dyDescent="0.25">
      <c r="K950">
        <v>922</v>
      </c>
      <c r="L950" s="3">
        <v>0.05</v>
      </c>
      <c r="M950" s="3">
        <v>-0.11071779892325838</v>
      </c>
    </row>
    <row r="951" spans="11:13" x14ac:dyDescent="0.25">
      <c r="K951">
        <v>923</v>
      </c>
      <c r="L951" s="3">
        <v>0.05</v>
      </c>
      <c r="M951" s="3">
        <v>-0.11071779892325838</v>
      </c>
    </row>
    <row r="952" spans="11:13" x14ac:dyDescent="0.25">
      <c r="K952">
        <v>924</v>
      </c>
      <c r="L952" s="3">
        <v>0.05</v>
      </c>
      <c r="M952" s="3">
        <v>-0.11071779892325838</v>
      </c>
    </row>
    <row r="953" spans="11:13" x14ac:dyDescent="0.25">
      <c r="K953">
        <v>925</v>
      </c>
      <c r="L953" s="3">
        <v>0.05</v>
      </c>
      <c r="M953" s="3">
        <v>-0.11071779892325838</v>
      </c>
    </row>
    <row r="954" spans="11:13" x14ac:dyDescent="0.25">
      <c r="K954">
        <v>926</v>
      </c>
      <c r="L954" s="3">
        <v>0.05</v>
      </c>
      <c r="M954" s="3">
        <v>-0.11071779892325838</v>
      </c>
    </row>
    <row r="955" spans="11:13" x14ac:dyDescent="0.25">
      <c r="K955">
        <v>927</v>
      </c>
      <c r="L955" s="3">
        <v>0.05</v>
      </c>
      <c r="M955" s="3">
        <v>-0.11071779892325838</v>
      </c>
    </row>
    <row r="956" spans="11:13" x14ac:dyDescent="0.25">
      <c r="K956">
        <v>928</v>
      </c>
      <c r="L956" s="3">
        <v>0.05</v>
      </c>
      <c r="M956" s="3">
        <v>-0.11071779892325838</v>
      </c>
    </row>
    <row r="957" spans="11:13" x14ac:dyDescent="0.25">
      <c r="K957">
        <v>929</v>
      </c>
      <c r="L957" s="3">
        <v>0.05</v>
      </c>
      <c r="M957" s="3">
        <v>-0.11071779892325838</v>
      </c>
    </row>
    <row r="958" spans="11:13" x14ac:dyDescent="0.25">
      <c r="K958">
        <v>930</v>
      </c>
      <c r="L958" s="3">
        <v>0.05</v>
      </c>
      <c r="M958" s="3">
        <v>-0.11071779892325838</v>
      </c>
    </row>
    <row r="959" spans="11:13" x14ac:dyDescent="0.25">
      <c r="K959">
        <v>931</v>
      </c>
      <c r="L959" s="3">
        <v>0.05</v>
      </c>
      <c r="M959" s="3">
        <v>-0.11071779892325838</v>
      </c>
    </row>
    <row r="960" spans="11:13" x14ac:dyDescent="0.25">
      <c r="K960">
        <v>932</v>
      </c>
      <c r="L960" s="3">
        <v>0.05</v>
      </c>
      <c r="M960" s="3">
        <v>-0.11071779892325838</v>
      </c>
    </row>
    <row r="961" spans="11:13" x14ac:dyDescent="0.25">
      <c r="K961">
        <v>933</v>
      </c>
      <c r="L961" s="3">
        <v>0.05</v>
      </c>
      <c r="M961" s="3">
        <v>-0.11071779892325838</v>
      </c>
    </row>
    <row r="962" spans="11:13" x14ac:dyDescent="0.25">
      <c r="K962">
        <v>934</v>
      </c>
      <c r="L962" s="3">
        <v>0.05</v>
      </c>
      <c r="M962" s="3">
        <v>-0.11071779892325838</v>
      </c>
    </row>
    <row r="963" spans="11:13" x14ac:dyDescent="0.25">
      <c r="K963">
        <v>935</v>
      </c>
      <c r="L963" s="3">
        <v>0.05</v>
      </c>
      <c r="M963" s="3">
        <v>-0.11071779892325838</v>
      </c>
    </row>
    <row r="964" spans="11:13" x14ac:dyDescent="0.25">
      <c r="K964">
        <v>936</v>
      </c>
      <c r="L964" s="3">
        <v>0.05</v>
      </c>
      <c r="M964" s="3">
        <v>-0.11071779892325838</v>
      </c>
    </row>
    <row r="965" spans="11:13" x14ac:dyDescent="0.25">
      <c r="K965">
        <v>937</v>
      </c>
      <c r="L965" s="3">
        <v>0.05</v>
      </c>
      <c r="M965" s="3">
        <v>-0.11071779892325838</v>
      </c>
    </row>
    <row r="966" spans="11:13" x14ac:dyDescent="0.25">
      <c r="K966">
        <v>938</v>
      </c>
      <c r="L966" s="3">
        <v>0.05</v>
      </c>
      <c r="M966" s="3">
        <v>-0.11071779892325838</v>
      </c>
    </row>
    <row r="967" spans="11:13" x14ac:dyDescent="0.25">
      <c r="K967">
        <v>939</v>
      </c>
      <c r="L967" s="3">
        <v>0.05</v>
      </c>
      <c r="M967" s="3">
        <v>-0.11071779892325838</v>
      </c>
    </row>
    <row r="968" spans="11:13" x14ac:dyDescent="0.25">
      <c r="K968">
        <v>940</v>
      </c>
      <c r="L968" s="3">
        <v>0.05</v>
      </c>
      <c r="M968" s="3">
        <v>-0.11071779892325838</v>
      </c>
    </row>
    <row r="969" spans="11:13" x14ac:dyDescent="0.25">
      <c r="K969">
        <v>941</v>
      </c>
      <c r="L969" s="3">
        <v>0.05</v>
      </c>
      <c r="M969" s="3">
        <v>-0.11071779892325838</v>
      </c>
    </row>
    <row r="970" spans="11:13" x14ac:dyDescent="0.25">
      <c r="K970">
        <v>942</v>
      </c>
      <c r="L970" s="3">
        <v>0.05</v>
      </c>
      <c r="M970" s="3">
        <v>-0.11071779892325838</v>
      </c>
    </row>
    <row r="971" spans="11:13" x14ac:dyDescent="0.25">
      <c r="K971">
        <v>943</v>
      </c>
      <c r="L971" s="3">
        <v>0.05</v>
      </c>
      <c r="M971" s="3">
        <v>-0.11071779892325838</v>
      </c>
    </row>
    <row r="972" spans="11:13" x14ac:dyDescent="0.25">
      <c r="K972">
        <v>944</v>
      </c>
      <c r="L972" s="3">
        <v>0.05</v>
      </c>
      <c r="M972" s="3">
        <v>-0.11071779892325838</v>
      </c>
    </row>
    <row r="973" spans="11:13" x14ac:dyDescent="0.25">
      <c r="K973">
        <v>945</v>
      </c>
      <c r="L973" s="3">
        <v>0.05</v>
      </c>
      <c r="M973" s="3">
        <v>-0.11071779892325838</v>
      </c>
    </row>
    <row r="974" spans="11:13" x14ac:dyDescent="0.25">
      <c r="K974">
        <v>946</v>
      </c>
      <c r="L974" s="3">
        <v>0.05</v>
      </c>
      <c r="M974" s="3">
        <v>-0.11071779892325838</v>
      </c>
    </row>
    <row r="975" spans="11:13" x14ac:dyDescent="0.25">
      <c r="K975">
        <v>947</v>
      </c>
      <c r="L975" s="3">
        <v>0.05</v>
      </c>
      <c r="M975" s="3">
        <v>-0.11071779892325838</v>
      </c>
    </row>
    <row r="976" spans="11:13" x14ac:dyDescent="0.25">
      <c r="K976">
        <v>948</v>
      </c>
      <c r="L976" s="3">
        <v>0.05</v>
      </c>
      <c r="M976" s="3">
        <v>-0.11071779892325838</v>
      </c>
    </row>
    <row r="977" spans="11:13" x14ac:dyDescent="0.25">
      <c r="K977">
        <v>949</v>
      </c>
      <c r="L977" s="3">
        <v>0.05</v>
      </c>
      <c r="M977" s="3">
        <v>-0.11071779892325838</v>
      </c>
    </row>
    <row r="978" spans="11:13" x14ac:dyDescent="0.25">
      <c r="K978">
        <v>950</v>
      </c>
      <c r="L978" s="3">
        <v>0.05</v>
      </c>
      <c r="M978" s="3">
        <v>-0.11071779892325838</v>
      </c>
    </row>
    <row r="979" spans="11:13" x14ac:dyDescent="0.25">
      <c r="K979">
        <v>951</v>
      </c>
      <c r="L979" s="3">
        <v>0.05</v>
      </c>
      <c r="M979" s="3">
        <v>-0.11071779892325838</v>
      </c>
    </row>
    <row r="980" spans="11:13" x14ac:dyDescent="0.25">
      <c r="K980">
        <v>952</v>
      </c>
      <c r="L980" s="3">
        <v>0.05</v>
      </c>
      <c r="M980" s="3">
        <v>-0.11071779892325838</v>
      </c>
    </row>
    <row r="981" spans="11:13" x14ac:dyDescent="0.25">
      <c r="K981">
        <v>953</v>
      </c>
      <c r="L981" s="3">
        <v>0.05</v>
      </c>
      <c r="M981" s="3">
        <v>-0.11071779892325838</v>
      </c>
    </row>
    <row r="982" spans="11:13" x14ac:dyDescent="0.25">
      <c r="K982">
        <v>954</v>
      </c>
      <c r="L982" s="3">
        <v>0.05</v>
      </c>
      <c r="M982" s="3">
        <v>-0.11071779892325838</v>
      </c>
    </row>
    <row r="983" spans="11:13" x14ac:dyDescent="0.25">
      <c r="K983">
        <v>955</v>
      </c>
      <c r="L983" s="3">
        <v>0.05</v>
      </c>
      <c r="M983" s="3">
        <v>-0.11071779892325838</v>
      </c>
    </row>
    <row r="984" spans="11:13" x14ac:dyDescent="0.25">
      <c r="K984">
        <v>956</v>
      </c>
      <c r="L984" s="3">
        <v>0.05</v>
      </c>
      <c r="M984" s="3">
        <v>-0.11071779892325838</v>
      </c>
    </row>
    <row r="985" spans="11:13" x14ac:dyDescent="0.25">
      <c r="K985">
        <v>957</v>
      </c>
      <c r="L985" s="3">
        <v>0.05</v>
      </c>
      <c r="M985" s="3">
        <v>-0.11071779892325838</v>
      </c>
    </row>
    <row r="986" spans="11:13" x14ac:dyDescent="0.25">
      <c r="K986">
        <v>958</v>
      </c>
      <c r="L986" s="3">
        <v>0.05</v>
      </c>
      <c r="M986" s="3">
        <v>-0.11071779892325838</v>
      </c>
    </row>
    <row r="987" spans="11:13" x14ac:dyDescent="0.25">
      <c r="K987">
        <v>959</v>
      </c>
      <c r="L987" s="3">
        <v>0.05</v>
      </c>
      <c r="M987" s="3">
        <v>-0.11071779892325838</v>
      </c>
    </row>
    <row r="988" spans="11:13" x14ac:dyDescent="0.25">
      <c r="K988">
        <v>960</v>
      </c>
      <c r="L988" s="3">
        <v>0.05</v>
      </c>
      <c r="M988" s="3">
        <v>-0.11071779892325838</v>
      </c>
    </row>
    <row r="989" spans="11:13" x14ac:dyDescent="0.25">
      <c r="K989">
        <v>961</v>
      </c>
      <c r="L989" s="3">
        <v>0.05</v>
      </c>
      <c r="M989" s="3">
        <v>-0.11071779892325838</v>
      </c>
    </row>
    <row r="990" spans="11:13" x14ac:dyDescent="0.25">
      <c r="K990">
        <v>962</v>
      </c>
      <c r="L990" s="3">
        <v>0.05</v>
      </c>
      <c r="M990" s="3">
        <v>-0.11071779892325838</v>
      </c>
    </row>
    <row r="991" spans="11:13" x14ac:dyDescent="0.25">
      <c r="K991">
        <v>963</v>
      </c>
      <c r="L991" s="3">
        <v>0.05</v>
      </c>
      <c r="M991" s="3">
        <v>-0.11071779892325838</v>
      </c>
    </row>
    <row r="992" spans="11:13" x14ac:dyDescent="0.25">
      <c r="K992">
        <v>964</v>
      </c>
      <c r="L992" s="3">
        <v>0.05</v>
      </c>
      <c r="M992" s="3">
        <v>-0.11071779892325838</v>
      </c>
    </row>
    <row r="993" spans="11:13" x14ac:dyDescent="0.25">
      <c r="K993">
        <v>965</v>
      </c>
      <c r="L993" s="3">
        <v>0.05</v>
      </c>
      <c r="M993" s="3">
        <v>-0.11071779892325838</v>
      </c>
    </row>
    <row r="994" spans="11:13" x14ac:dyDescent="0.25">
      <c r="K994">
        <v>966</v>
      </c>
      <c r="L994" s="3">
        <v>0.05</v>
      </c>
      <c r="M994" s="3">
        <v>-0.11071779892325838</v>
      </c>
    </row>
    <row r="995" spans="11:13" x14ac:dyDescent="0.25">
      <c r="K995">
        <v>967</v>
      </c>
      <c r="L995" s="3">
        <v>0.05</v>
      </c>
      <c r="M995" s="3">
        <v>-0.11071779892325838</v>
      </c>
    </row>
    <row r="996" spans="11:13" x14ac:dyDescent="0.25">
      <c r="K996">
        <v>968</v>
      </c>
      <c r="L996" s="3">
        <v>0.05</v>
      </c>
      <c r="M996" s="3">
        <v>-0.11071779892325838</v>
      </c>
    </row>
    <row r="997" spans="11:13" x14ac:dyDescent="0.25">
      <c r="K997">
        <v>969</v>
      </c>
      <c r="L997" s="3">
        <v>0.05</v>
      </c>
      <c r="M997" s="3">
        <v>-0.11071779892325838</v>
      </c>
    </row>
    <row r="998" spans="11:13" x14ac:dyDescent="0.25">
      <c r="K998">
        <v>970</v>
      </c>
      <c r="L998" s="3">
        <v>0.05</v>
      </c>
      <c r="M998" s="3">
        <v>-0.11071779892325838</v>
      </c>
    </row>
    <row r="999" spans="11:13" x14ac:dyDescent="0.25">
      <c r="K999">
        <v>971</v>
      </c>
      <c r="L999" s="3">
        <v>0.05</v>
      </c>
      <c r="M999" s="3">
        <v>-0.11071779892325838</v>
      </c>
    </row>
    <row r="1000" spans="11:13" x14ac:dyDescent="0.25">
      <c r="K1000">
        <v>972</v>
      </c>
      <c r="L1000" s="3">
        <v>0.05</v>
      </c>
      <c r="M1000" s="3">
        <v>-0.11071779892325838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9253-D16B-415E-9EB6-6B89B389D3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2026-01-05T07:31:01Z</dcterms:created>
  <dcterms:modified xsi:type="dcterms:W3CDTF">2026-01-05T16:14:56Z</dcterms:modified>
</cp:coreProperties>
</file>