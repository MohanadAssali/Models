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odels\TESLA\git\"/>
    </mc:Choice>
  </mc:AlternateContent>
  <xr:revisionPtr revIDLastSave="0" documentId="13_ncr:1_{631029BF-99A1-4759-A800-248AC2FCD9DF}" xr6:coauthVersionLast="47" xr6:coauthVersionMax="47" xr10:uidLastSave="{00000000-0000-0000-0000-000000000000}"/>
  <bookViews>
    <workbookView xWindow="-28920" yWindow="660" windowWidth="29040" windowHeight="15720" activeTab="1" xr2:uid="{D01B25C2-CA04-4D87-8896-28C88946E0C3}"/>
  </bookViews>
  <sheets>
    <sheet name="DCF" sheetId="1" r:id="rId1"/>
    <sheet name="WAAC &amp; Assumptions" sheetId="3" r:id="rId2"/>
    <sheet name="Important Notes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H16" i="1"/>
  <c r="G16" i="1"/>
  <c r="F16" i="1"/>
  <c r="E16" i="1"/>
  <c r="I17" i="1"/>
  <c r="H17" i="1"/>
  <c r="G17" i="1"/>
  <c r="F17" i="1"/>
  <c r="E17" i="1"/>
  <c r="I13" i="1"/>
  <c r="H13" i="1"/>
  <c r="H15" i="1" s="1"/>
  <c r="G13" i="1"/>
  <c r="G15" i="1" s="1"/>
  <c r="F13" i="1"/>
  <c r="F15" i="1" s="1"/>
  <c r="E13" i="1"/>
  <c r="I15" i="1"/>
  <c r="I14" i="1"/>
  <c r="H14" i="1"/>
  <c r="G14" i="1"/>
  <c r="F14" i="1"/>
  <c r="E14" i="1"/>
  <c r="E15" i="1" s="1"/>
  <c r="D26" i="1"/>
  <c r="D28" i="1"/>
  <c r="D19" i="3" l="1"/>
  <c r="E23" i="1" l="1"/>
  <c r="F23" i="1"/>
  <c r="G23" i="1"/>
  <c r="H23" i="1"/>
  <c r="I23" i="1"/>
  <c r="D27" i="1"/>
  <c r="D29" i="1" s="1"/>
  <c r="E24" i="1" l="1"/>
  <c r="D31" i="1" s="1"/>
  <c r="D35" i="1" s="1"/>
  <c r="D38" i="1" s="1"/>
</calcChain>
</file>

<file path=xl/sharedStrings.xml><?xml version="1.0" encoding="utf-8"?>
<sst xmlns="http://schemas.openxmlformats.org/spreadsheetml/2006/main" count="70" uniqueCount="61">
  <si>
    <t>Cash</t>
  </si>
  <si>
    <t>Debt</t>
  </si>
  <si>
    <t>EV</t>
  </si>
  <si>
    <t>FY2025</t>
  </si>
  <si>
    <t>FY2026</t>
  </si>
  <si>
    <t>WC</t>
  </si>
  <si>
    <t>Annually</t>
  </si>
  <si>
    <t>FY2027</t>
  </si>
  <si>
    <t>FY2028</t>
  </si>
  <si>
    <t>D&amp;A</t>
  </si>
  <si>
    <t>Mohanad Assali</t>
  </si>
  <si>
    <t>DCF Model</t>
  </si>
  <si>
    <t>Taxes</t>
  </si>
  <si>
    <t>NOPAT</t>
  </si>
  <si>
    <t>Assumptions</t>
  </si>
  <si>
    <t>Capex</t>
  </si>
  <si>
    <t>WAAC</t>
  </si>
  <si>
    <t>Discount period</t>
  </si>
  <si>
    <t>Discount Factor</t>
  </si>
  <si>
    <t>Equity Value</t>
  </si>
  <si>
    <t>Terminal Value</t>
  </si>
  <si>
    <t>DCF</t>
  </si>
  <si>
    <t>Last Modified 2/9/2026</t>
  </si>
  <si>
    <t>Tesla Inc.  (TSLA)</t>
  </si>
  <si>
    <t>5-year FCF Model</t>
  </si>
  <si>
    <t>FY2029</t>
  </si>
  <si>
    <t>FY2030</t>
  </si>
  <si>
    <t>Net Revenue</t>
  </si>
  <si>
    <t xml:space="preserve">EBITDA </t>
  </si>
  <si>
    <t xml:space="preserve">EBIT </t>
  </si>
  <si>
    <t>G</t>
  </si>
  <si>
    <t>Unlevered FCF</t>
  </si>
  <si>
    <t>DCF Summary Table</t>
  </si>
  <si>
    <t>5-year forecast</t>
  </si>
  <si>
    <t>PV</t>
  </si>
  <si>
    <t>Total Stage1 PV</t>
  </si>
  <si>
    <t>Terminal Year FCF</t>
  </si>
  <si>
    <t>PV of Terminal Value</t>
  </si>
  <si>
    <t>WAAC Calculation</t>
  </si>
  <si>
    <t>Total Enterprise Value</t>
  </si>
  <si>
    <t>MC</t>
  </si>
  <si>
    <t>Total Capital</t>
  </si>
  <si>
    <t>%Equity</t>
  </si>
  <si>
    <t>Share Price</t>
  </si>
  <si>
    <t>%Debt</t>
  </si>
  <si>
    <t>Risk Free Rate (EFP)</t>
  </si>
  <si>
    <t>Beta</t>
  </si>
  <si>
    <t>Equity Risk Premium (ERP)</t>
  </si>
  <si>
    <t>Cost of Equity</t>
  </si>
  <si>
    <t>Intrinsic Share Price</t>
  </si>
  <si>
    <t>Cost of Debt</t>
  </si>
  <si>
    <t>Tax Rate</t>
  </si>
  <si>
    <t>(Damodaran/JPM)</t>
  </si>
  <si>
    <t xml:space="preserve">CapEx </t>
  </si>
  <si>
    <t>Shares Outstanding</t>
  </si>
  <si>
    <t xml:space="preserve"> $millions</t>
  </si>
  <si>
    <t>Refer to ''Capital Structure_Financial Statements'' Excel File</t>
  </si>
  <si>
    <t>A fully linked model is available.</t>
  </si>
  <si>
    <t>Tax</t>
  </si>
  <si>
    <t>Notes</t>
  </si>
  <si>
    <t>Tesla Share price valuation is flawed. Will optimize projection techniques in the upcoming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</si>
</sst>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9"/>
      <name val="Calibri Light"/>
      <family val="2"/>
      <scheme val="major"/>
    </font>
    <font>
      <i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2" fillId="2" borderId="0" xfId="0" applyFont="1" applyFill="1"/>
    <xf numFmtId="0" fontId="3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0" fillId="3" borderId="0" xfId="0" applyFill="1"/>
    <xf numFmtId="2" fontId="0" fillId="0" borderId="0" xfId="0" applyNumberFormat="1"/>
    <xf numFmtId="2" fontId="1" fillId="0" borderId="0" xfId="0" applyNumberFormat="1" applyFont="1"/>
    <xf numFmtId="10" fontId="1" fillId="0" borderId="0" xfId="0" applyNumberFormat="1" applyFont="1"/>
    <xf numFmtId="0" fontId="0" fillId="0" borderId="6" xfId="0" applyBorder="1"/>
    <xf numFmtId="0" fontId="0" fillId="0" borderId="7" xfId="0" applyBorder="1"/>
    <xf numFmtId="3" fontId="0" fillId="0" borderId="8" xfId="0" applyNumberFormat="1" applyBorder="1"/>
    <xf numFmtId="0" fontId="0" fillId="0" borderId="8" xfId="0" applyBorder="1"/>
    <xf numFmtId="10" fontId="0" fillId="0" borderId="0" xfId="0" applyNumberFormat="1"/>
    <xf numFmtId="4" fontId="0" fillId="0" borderId="8" xfId="0" applyNumberFormat="1" applyBorder="1"/>
    <xf numFmtId="2" fontId="0" fillId="4" borderId="0" xfId="0" applyNumberFormat="1" applyFill="1"/>
    <xf numFmtId="10" fontId="0" fillId="4" borderId="0" xfId="0" applyNumberFormat="1" applyFill="1"/>
    <xf numFmtId="0" fontId="5" fillId="0" borderId="0" xfId="0" applyFont="1"/>
    <xf numFmtId="0" fontId="5" fillId="0" borderId="1" xfId="0" applyFont="1" applyBorder="1"/>
    <xf numFmtId="0" fontId="3" fillId="0" borderId="1" xfId="0" applyFont="1" applyBorder="1"/>
    <xf numFmtId="0" fontId="0" fillId="5" borderId="8" xfId="0" applyFill="1" applyBorder="1"/>
    <xf numFmtId="9" fontId="0" fillId="5" borderId="8" xfId="0" applyNumberFormat="1" applyFill="1" applyBorder="1"/>
    <xf numFmtId="9" fontId="0" fillId="5" borderId="8" xfId="0" applyNumberFormat="1" applyFont="1" applyFill="1" applyBorder="1"/>
    <xf numFmtId="0" fontId="0" fillId="5" borderId="7" xfId="0" applyFill="1" applyBorder="1"/>
    <xf numFmtId="0" fontId="0" fillId="0" borderId="9" xfId="0" applyBorder="1"/>
    <xf numFmtId="0" fontId="0" fillId="0" borderId="10" xfId="0" applyBorder="1"/>
    <xf numFmtId="3" fontId="0" fillId="5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240241</xdr:colOff>
      <xdr:row>0</xdr:row>
      <xdr:rowOff>0</xdr:rowOff>
    </xdr:from>
    <xdr:to>
      <xdr:col>13</xdr:col>
      <xdr:colOff>361976</xdr:colOff>
      <xdr:row>6</xdr:row>
      <xdr:rowOff>168436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DDA6F-09D8-4D58-BD37-FC1994FCA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140062" y="0"/>
          <a:ext cx="730246" cy="12608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152930</xdr:colOff>
      <xdr:row>7</xdr:row>
      <xdr:rowOff>91650</xdr:rowOff>
    </xdr:from>
    <xdr:to>
      <xdr:col>11</xdr:col>
      <xdr:colOff>209007</xdr:colOff>
      <xdr:row>19</xdr:row>
      <xdr:rowOff>150367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C0B054-AA70-442E-ACE8-343E71A01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083590" y="1349669"/>
          <a:ext cx="1278153" cy="22153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495759</xdr:colOff>
      <xdr:row>0</xdr:row>
      <xdr:rowOff>51898</xdr:rowOff>
    </xdr:from>
    <xdr:to>
      <xdr:col>15</xdr:col>
      <xdr:colOff>565172</xdr:colOff>
      <xdr:row>12</xdr:row>
      <xdr:rowOff>110615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8E3971-1DE4-4726-B54A-398CD8B15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950169" y="51898"/>
          <a:ext cx="1293393" cy="2215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636C-E0E6-491F-964D-AA690062476A}">
  <dimension ref="A1:AF191"/>
  <sheetViews>
    <sheetView zoomScale="84" zoomScaleNormal="84" workbookViewId="0">
      <pane xSplit="3" ySplit="6" topLeftCell="D7" activePane="bottomRight" state="frozen"/>
      <selection pane="topRight" activeCell="D1" sqref="D1"/>
      <selection pane="bottomLeft" activeCell="A13" sqref="A13"/>
      <selection pane="bottomRight" activeCell="I37" sqref="I37"/>
    </sheetView>
  </sheetViews>
  <sheetFormatPr defaultRowHeight="14.4" x14ac:dyDescent="0.3"/>
  <cols>
    <col min="3" max="3" width="21.21875" customWidth="1"/>
    <col min="5" max="6" width="10.109375" bestFit="1" customWidth="1"/>
    <col min="7" max="10" width="10.109375" customWidth="1"/>
    <col min="11" max="11" width="1.5546875" customWidth="1"/>
    <col min="12" max="12" width="1" customWidth="1"/>
  </cols>
  <sheetData>
    <row r="1" spans="1:32" x14ac:dyDescent="0.3">
      <c r="A1" s="6" t="s">
        <v>22</v>
      </c>
      <c r="B1" s="6"/>
      <c r="C1" s="6"/>
      <c r="D1" s="6"/>
      <c r="E1" s="6" t="s">
        <v>23</v>
      </c>
      <c r="F1" s="6"/>
      <c r="G1" s="6"/>
      <c r="H1" s="6" t="s">
        <v>10</v>
      </c>
      <c r="I1" s="6"/>
      <c r="J1" s="6"/>
      <c r="K1" s="4"/>
      <c r="L1" s="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3">
      <c r="A2" s="7" t="s">
        <v>21</v>
      </c>
      <c r="B2" s="3"/>
      <c r="K2" s="4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">
      <c r="A3" s="3"/>
      <c r="B3" s="3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">
      <c r="A4" s="12"/>
      <c r="B4" s="3"/>
      <c r="E4" s="12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">
      <c r="A5" s="3"/>
      <c r="B5" s="3"/>
      <c r="K5" s="4"/>
      <c r="L5" s="4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3"/>
      <c r="B6" s="3"/>
      <c r="E6" s="11" t="s">
        <v>6</v>
      </c>
      <c r="G6" s="11"/>
      <c r="H6" s="11"/>
      <c r="J6" s="11"/>
      <c r="K6" s="4"/>
      <c r="L6" s="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s="6" t="s">
        <v>11</v>
      </c>
      <c r="B7" s="5"/>
      <c r="C7" s="5"/>
      <c r="D7" s="5"/>
      <c r="E7" s="5"/>
      <c r="F7" s="5"/>
      <c r="G7" s="5"/>
      <c r="H7" s="5"/>
      <c r="I7" s="5"/>
      <c r="J7" s="5"/>
      <c r="K7" s="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t="s">
        <v>55</v>
      </c>
      <c r="B8" s="3"/>
      <c r="C8" s="13" t="s">
        <v>24</v>
      </c>
      <c r="D8" s="13"/>
      <c r="E8" s="13"/>
      <c r="F8" s="13"/>
      <c r="G8" s="13"/>
      <c r="H8" s="13"/>
      <c r="I8" s="13"/>
      <c r="K8" s="4"/>
      <c r="L8" s="4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s="3"/>
      <c r="B9" s="3"/>
      <c r="E9" t="s">
        <v>4</v>
      </c>
      <c r="F9" t="s">
        <v>7</v>
      </c>
      <c r="G9" t="s">
        <v>8</v>
      </c>
      <c r="H9" t="s">
        <v>25</v>
      </c>
      <c r="I9" t="s">
        <v>26</v>
      </c>
      <c r="K9" s="4"/>
      <c r="L9" s="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B10" s="3"/>
      <c r="C10" t="s">
        <v>27</v>
      </c>
      <c r="D10" s="1"/>
      <c r="E10" s="1">
        <v>107800.00000000001</v>
      </c>
      <c r="F10" s="1">
        <v>118580.00000000003</v>
      </c>
      <c r="G10" s="1">
        <v>130438.00000000004</v>
      </c>
      <c r="H10" s="1">
        <v>143481.80000000005</v>
      </c>
      <c r="I10" s="1">
        <v>157829.98000000007</v>
      </c>
      <c r="K10" s="4"/>
      <c r="L10" s="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s="3"/>
      <c r="B11" s="3"/>
      <c r="C11" t="s">
        <v>28</v>
      </c>
      <c r="D11" s="1"/>
      <c r="E11" s="1">
        <v>9633.1999999999989</v>
      </c>
      <c r="F11" s="1">
        <v>10646.519999999997</v>
      </c>
      <c r="G11" s="1">
        <v>11761.172000000002</v>
      </c>
      <c r="H11" s="1">
        <v>12987.289199999996</v>
      </c>
      <c r="I11" s="1">
        <v>14336.018120000008</v>
      </c>
      <c r="K11" s="4"/>
      <c r="L11" s="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s="3"/>
      <c r="B12" s="3"/>
      <c r="C12" t="s">
        <v>9</v>
      </c>
      <c r="D12" s="34"/>
      <c r="E12" s="34">
        <v>5390.0000000000009</v>
      </c>
      <c r="F12" s="34">
        <v>5929.0000000000018</v>
      </c>
      <c r="G12" s="34">
        <v>6521.9000000000024</v>
      </c>
      <c r="H12" s="34">
        <v>7174.0900000000029</v>
      </c>
      <c r="I12" s="34">
        <v>7891.4990000000034</v>
      </c>
      <c r="J12" s="28"/>
      <c r="K12" s="33"/>
      <c r="L12" s="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3"/>
      <c r="B13" s="3"/>
      <c r="C13" t="s">
        <v>29</v>
      </c>
      <c r="D13" s="34"/>
      <c r="E13" s="34">
        <f>E11-E12</f>
        <v>4243.199999999998</v>
      </c>
      <c r="F13" s="34">
        <f t="shared" ref="F13:I13" si="0">F11-F12</f>
        <v>4717.519999999995</v>
      </c>
      <c r="G13" s="34">
        <f t="shared" si="0"/>
        <v>5239.2719999999999</v>
      </c>
      <c r="H13" s="34">
        <f t="shared" si="0"/>
        <v>5813.1991999999927</v>
      </c>
      <c r="I13" s="34">
        <f t="shared" si="0"/>
        <v>6444.5191200000045</v>
      </c>
      <c r="J13" s="28"/>
      <c r="K13" s="33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3"/>
      <c r="B14" s="3"/>
      <c r="C14" t="s">
        <v>12</v>
      </c>
      <c r="D14" s="34"/>
      <c r="E14" s="34">
        <f>E13*'WAAC &amp; Assumptions'!$D$23</f>
        <v>891.07199999999955</v>
      </c>
      <c r="F14" s="34">
        <f>F13*'WAAC &amp; Assumptions'!$D$23</f>
        <v>990.6791999999989</v>
      </c>
      <c r="G14" s="34">
        <f>G13*'WAAC &amp; Assumptions'!$D$23</f>
        <v>1100.24712</v>
      </c>
      <c r="H14" s="34">
        <f>H13*'WAAC &amp; Assumptions'!$D$23</f>
        <v>1220.7718319999985</v>
      </c>
      <c r="I14" s="34">
        <f>I13*'WAAC &amp; Assumptions'!$D$23</f>
        <v>1353.3490152000008</v>
      </c>
      <c r="J14" s="28"/>
      <c r="K14" s="33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3"/>
      <c r="B15" s="3"/>
      <c r="C15" t="s">
        <v>13</v>
      </c>
      <c r="D15" s="34"/>
      <c r="E15" s="34">
        <f>E13-E14</f>
        <v>3352.1279999999983</v>
      </c>
      <c r="F15" s="34">
        <f t="shared" ref="F15:I15" si="1">F13-F14</f>
        <v>3726.8407999999963</v>
      </c>
      <c r="G15" s="34">
        <f t="shared" si="1"/>
        <v>4139.0248799999999</v>
      </c>
      <c r="H15" s="34">
        <f t="shared" si="1"/>
        <v>4592.4273679999942</v>
      </c>
      <c r="I15" s="34">
        <f t="shared" si="1"/>
        <v>5091.1701048000032</v>
      </c>
      <c r="J15" s="28"/>
      <c r="K15" s="33"/>
      <c r="L15" s="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3"/>
      <c r="B16" s="3"/>
      <c r="C16" t="s">
        <v>9</v>
      </c>
      <c r="D16" s="34"/>
      <c r="E16" s="34">
        <f>E10*'WAAC &amp; Assumptions'!$D$25</f>
        <v>5390.0000000000009</v>
      </c>
      <c r="F16" s="34">
        <f>F10*'WAAC &amp; Assumptions'!$D$25</f>
        <v>5929.0000000000018</v>
      </c>
      <c r="G16" s="34">
        <f>G10*'WAAC &amp; Assumptions'!$D$25</f>
        <v>6521.9000000000024</v>
      </c>
      <c r="H16" s="34">
        <f>H10*'WAAC &amp; Assumptions'!$D$25</f>
        <v>7174.0900000000029</v>
      </c>
      <c r="I16" s="34">
        <f>I10*'WAAC &amp; Assumptions'!$D$25</f>
        <v>7891.4990000000034</v>
      </c>
      <c r="J16" s="28"/>
      <c r="K16" s="33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">
      <c r="A17" s="3"/>
      <c r="B17" s="3"/>
      <c r="C17" t="s">
        <v>53</v>
      </c>
      <c r="D17" s="34"/>
      <c r="E17" s="34">
        <f>E10*'WAAC &amp; Assumptions'!$D$24</f>
        <v>3234.0000000000005</v>
      </c>
      <c r="F17" s="34">
        <f>F10*'WAAC &amp; Assumptions'!$D$24</f>
        <v>3557.4000000000005</v>
      </c>
      <c r="G17" s="34">
        <f>G10*'WAAC &amp; Assumptions'!$D$24</f>
        <v>3913.1400000000012</v>
      </c>
      <c r="H17" s="34">
        <f>H10*'WAAC &amp; Assumptions'!$D$24</f>
        <v>4304.4540000000015</v>
      </c>
      <c r="I17" s="34">
        <f>I10*'WAAC &amp; Assumptions'!$D$24</f>
        <v>4734.8994000000021</v>
      </c>
      <c r="J17" s="28"/>
      <c r="K17" s="33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">
      <c r="A18" s="3"/>
      <c r="B18" s="3"/>
      <c r="C18" t="s">
        <v>5</v>
      </c>
      <c r="D18" s="34"/>
      <c r="E18" s="34">
        <v>196</v>
      </c>
      <c r="F18" s="34">
        <v>215.60000000000031</v>
      </c>
      <c r="G18" s="34">
        <v>237.16000000000031</v>
      </c>
      <c r="H18" s="34">
        <v>260.87600000000009</v>
      </c>
      <c r="I18" s="34">
        <v>286.96360000000044</v>
      </c>
      <c r="J18" s="28"/>
      <c r="K18" s="33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">
      <c r="A19" s="3"/>
      <c r="B19" s="3"/>
      <c r="C19" t="s">
        <v>31</v>
      </c>
      <c r="D19" s="34"/>
      <c r="E19" s="34">
        <v>5000</v>
      </c>
      <c r="F19" s="34">
        <v>3511.2407999999959</v>
      </c>
      <c r="G19" s="34">
        <v>3901.8648799999996</v>
      </c>
      <c r="H19" s="34">
        <v>4331.551367999994</v>
      </c>
      <c r="I19" s="34">
        <v>4804.2065048000031</v>
      </c>
      <c r="J19" s="28"/>
      <c r="K19" s="33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">
      <c r="A20" s="3"/>
      <c r="B20" s="3"/>
      <c r="D20" s="1"/>
      <c r="E20" s="1"/>
      <c r="F20" s="1"/>
      <c r="G20" s="1"/>
      <c r="H20" s="1"/>
      <c r="I20" s="1"/>
      <c r="K20" s="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">
      <c r="A21" s="3"/>
      <c r="B21" s="3"/>
      <c r="C21" s="13" t="s">
        <v>32</v>
      </c>
      <c r="D21" s="13"/>
      <c r="E21" s="13"/>
      <c r="F21" s="13"/>
      <c r="G21" s="13"/>
      <c r="H21" s="13"/>
      <c r="I21" s="13"/>
      <c r="K21" s="4"/>
      <c r="L21" s="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">
      <c r="A22" s="25" t="s">
        <v>33</v>
      </c>
      <c r="B22" s="3"/>
      <c r="C22" t="s">
        <v>17</v>
      </c>
      <c r="E22" s="1">
        <v>1</v>
      </c>
      <c r="F22" s="1">
        <v>2</v>
      </c>
      <c r="G22" s="1">
        <v>3</v>
      </c>
      <c r="H22" s="1">
        <v>4</v>
      </c>
      <c r="I22" s="1">
        <v>5</v>
      </c>
      <c r="K22" s="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">
      <c r="B23" s="3"/>
      <c r="C23" t="s">
        <v>34</v>
      </c>
      <c r="E23" s="1">
        <f>E19*(1+'WAAC &amp; Assumptions'!D19)^E22</f>
        <v>5525.7054432886434</v>
      </c>
      <c r="F23" s="1">
        <f>F19*(1+'WAAC &amp; Assumptions'!D19)^F22</f>
        <v>4288.4076934304567</v>
      </c>
      <c r="G23" s="1">
        <f>G19*(1+'WAAC &amp; Assumptions'!D19)^G22</f>
        <v>5266.5402072368925</v>
      </c>
      <c r="H23" s="1">
        <f>H19*(1+'WAAC &amp; Assumptions'!D19)^H22</f>
        <v>6461.2176897590198</v>
      </c>
      <c r="I23" s="1">
        <f>I19*(1+'WAAC &amp; Assumptions'!D19)^I22</f>
        <v>7919.7285687516169</v>
      </c>
      <c r="K23" s="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">
      <c r="A24" s="3"/>
      <c r="B24" s="3"/>
      <c r="C24" t="s">
        <v>35</v>
      </c>
      <c r="E24" s="1">
        <f>SUM(E23:I23)</f>
        <v>29461.599602466627</v>
      </c>
      <c r="K24" s="4"/>
      <c r="L24" s="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">
      <c r="A25" s="3"/>
      <c r="B25" s="3"/>
      <c r="K25" s="4"/>
      <c r="L25" s="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">
      <c r="A26" s="26" t="s">
        <v>20</v>
      </c>
      <c r="B26" s="3"/>
      <c r="C26" t="s">
        <v>36</v>
      </c>
      <c r="D26" s="1">
        <f>I19*(1+'WAAC &amp; Assumptions'!D22)</f>
        <v>4948.3326999440033</v>
      </c>
      <c r="K26" s="4"/>
      <c r="L26" s="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">
      <c r="A27" s="3"/>
      <c r="B27" s="3"/>
      <c r="C27" t="s">
        <v>20</v>
      </c>
      <c r="D27" s="1">
        <f>D26/('WAAC &amp; Assumptions'!D19-'WAAC &amp; Assumptions'!D22)</f>
        <v>65853.886180487709</v>
      </c>
      <c r="K27" s="4"/>
      <c r="L27" s="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">
      <c r="A28" s="3"/>
      <c r="B28" s="3"/>
      <c r="C28" t="s">
        <v>18</v>
      </c>
      <c r="D28" s="2">
        <f>1/((1+'WAAC &amp; Assumptions'!D22)^I22)</f>
        <v>0.86260878438416411</v>
      </c>
      <c r="K28" s="4"/>
      <c r="L28" s="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">
      <c r="A29" s="3"/>
      <c r="B29" s="3"/>
      <c r="C29" t="s">
        <v>37</v>
      </c>
      <c r="D29" s="1">
        <f>D27*D28</f>
        <v>56806.140705123609</v>
      </c>
      <c r="K29" s="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">
      <c r="A30" s="3"/>
      <c r="B30" s="3"/>
      <c r="D30" s="1"/>
      <c r="K30" s="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/>
      <c r="B31" s="3"/>
      <c r="C31" t="s">
        <v>39</v>
      </c>
      <c r="D31" s="1">
        <f>E24+D29</f>
        <v>86267.74030759024</v>
      </c>
      <c r="K31" s="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">
      <c r="A32" s="3"/>
      <c r="B32" s="3"/>
      <c r="K32" s="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3">
      <c r="A33" s="3"/>
      <c r="B33" s="3"/>
      <c r="K33" s="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3">
      <c r="A34" s="3"/>
      <c r="B34" s="3"/>
      <c r="K34" s="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3">
      <c r="A35" s="25" t="s">
        <v>43</v>
      </c>
      <c r="B35" s="17"/>
      <c r="C35" s="18" t="s">
        <v>2</v>
      </c>
      <c r="D35" s="19">
        <f>D31</f>
        <v>86267.74030759024</v>
      </c>
      <c r="E35" s="20"/>
      <c r="F35" s="20"/>
      <c r="K35" s="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3">
      <c r="A36" s="3"/>
      <c r="B36" s="17"/>
      <c r="C36" s="18" t="s">
        <v>0</v>
      </c>
      <c r="D36" s="19">
        <v>44059</v>
      </c>
      <c r="E36" s="20" t="s">
        <v>3</v>
      </c>
      <c r="F36" s="20"/>
      <c r="K36" s="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3">
      <c r="A37" s="3"/>
      <c r="B37" s="17"/>
      <c r="C37" s="18" t="s">
        <v>1</v>
      </c>
      <c r="D37" s="19">
        <v>8213</v>
      </c>
      <c r="E37" s="20" t="s">
        <v>1</v>
      </c>
      <c r="F37" s="20"/>
      <c r="K37" s="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3">
      <c r="A38" s="3"/>
      <c r="B38" s="17"/>
      <c r="C38" s="18" t="s">
        <v>19</v>
      </c>
      <c r="D38" s="19">
        <f>D35+D36-D37</f>
        <v>122113.74030759024</v>
      </c>
      <c r="E38" s="20"/>
      <c r="F38" s="20"/>
      <c r="K38" s="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">
      <c r="A39" s="3"/>
      <c r="B39" s="17"/>
      <c r="C39" s="18" t="s">
        <v>54</v>
      </c>
      <c r="D39" s="19">
        <v>3498</v>
      </c>
      <c r="E39" s="20"/>
      <c r="F39" s="20"/>
      <c r="K39" s="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3">
      <c r="A40" s="3"/>
      <c r="B40" s="17"/>
      <c r="C40" s="18" t="s">
        <v>49</v>
      </c>
      <c r="D40" s="22"/>
      <c r="E40" s="20"/>
      <c r="F40" s="20"/>
      <c r="K40" s="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3">
      <c r="A41" s="3"/>
      <c r="B41" s="3"/>
      <c r="K41" s="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3">
      <c r="A42" s="3"/>
      <c r="B42" s="3"/>
      <c r="K42" s="4"/>
      <c r="L42" s="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6.75" customHeight="1" x14ac:dyDescent="0.3">
      <c r="A43" s="3"/>
      <c r="B43" s="3"/>
      <c r="C43" s="9"/>
      <c r="D43" s="9"/>
      <c r="E43" s="9"/>
      <c r="F43" s="9"/>
      <c r="G43" s="9"/>
      <c r="H43" s="9"/>
      <c r="I43" s="9"/>
      <c r="J43" s="9"/>
      <c r="K43" s="9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3">
      <c r="A44" s="3"/>
      <c r="B44" s="3"/>
      <c r="C44" s="8"/>
      <c r="D44" s="8"/>
      <c r="E44" s="8"/>
      <c r="F44" s="8"/>
      <c r="G44" s="8"/>
      <c r="H44" s="8"/>
      <c r="I44" s="8"/>
      <c r="J44" s="8"/>
      <c r="K44" s="3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5729-36E1-4C4F-972E-E4133FB4D1A5}">
  <dimension ref="A1:AB188"/>
  <sheetViews>
    <sheetView tabSelected="1" zoomScale="106" zoomScaleNormal="106" workbookViewId="0">
      <selection activeCell="D26" sqref="D26"/>
    </sheetView>
  </sheetViews>
  <sheetFormatPr defaultRowHeight="14.4" x14ac:dyDescent="0.3"/>
  <cols>
    <col min="3" max="3" width="27" customWidth="1"/>
    <col min="4" max="5" width="10.109375" bestFit="1" customWidth="1"/>
    <col min="6" max="6" width="10.109375" customWidth="1"/>
    <col min="7" max="7" width="1.5546875" customWidth="1"/>
    <col min="8" max="8" width="1" customWidth="1"/>
  </cols>
  <sheetData>
    <row r="1" spans="1:28" x14ac:dyDescent="0.3">
      <c r="A1" s="6"/>
      <c r="B1" s="6"/>
      <c r="C1" s="6"/>
      <c r="D1" s="6" t="s">
        <v>23</v>
      </c>
      <c r="E1" s="6"/>
      <c r="F1" s="6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x14ac:dyDescent="0.3">
      <c r="A2" s="7" t="s">
        <v>16</v>
      </c>
      <c r="B2" s="3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3"/>
      <c r="B3" s="3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12"/>
      <c r="B4" s="3"/>
      <c r="D4" s="12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3"/>
      <c r="B5" s="3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3"/>
      <c r="B6" s="3"/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6" t="s">
        <v>38</v>
      </c>
      <c r="B7" s="5"/>
      <c r="C7" s="5"/>
      <c r="D7" s="5"/>
      <c r="E7" s="5"/>
      <c r="F7" s="5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3"/>
      <c r="B8" s="3"/>
      <c r="C8" s="14" t="s">
        <v>40</v>
      </c>
      <c r="D8" s="1">
        <v>1393605</v>
      </c>
      <c r="E8" s="1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B9" s="3"/>
      <c r="C9" s="14" t="s">
        <v>1</v>
      </c>
      <c r="D9" s="1">
        <v>8213</v>
      </c>
      <c r="E9" s="1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3"/>
      <c r="B10" s="3"/>
      <c r="C10" s="14" t="s">
        <v>41</v>
      </c>
      <c r="D10" s="1">
        <v>1401818</v>
      </c>
      <c r="E10" s="1"/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3"/>
      <c r="B11" s="3"/>
      <c r="C11" s="15" t="s">
        <v>42</v>
      </c>
      <c r="D11" s="16">
        <v>0.99414117952544478</v>
      </c>
      <c r="E11" s="1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3"/>
      <c r="B12" s="3"/>
      <c r="C12" s="15" t="s">
        <v>44</v>
      </c>
      <c r="D12" s="16">
        <v>5.8588204745551849E-3</v>
      </c>
      <c r="E12" s="21"/>
      <c r="G12" s="4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3"/>
      <c r="B13" s="3"/>
      <c r="C13" s="14" t="s">
        <v>45</v>
      </c>
      <c r="D13" s="21">
        <v>4.2799999999999998E-2</v>
      </c>
      <c r="G13" s="4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3"/>
      <c r="B14" s="3"/>
      <c r="C14" s="14" t="s">
        <v>46</v>
      </c>
      <c r="D14" s="2">
        <v>1.5</v>
      </c>
      <c r="G14" s="4"/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3"/>
      <c r="B15" s="3"/>
      <c r="C15" s="14" t="s">
        <v>47</v>
      </c>
      <c r="D15" s="21">
        <v>4.1799999999999997E-2</v>
      </c>
      <c r="E15" t="s">
        <v>52</v>
      </c>
      <c r="G15" s="4"/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3"/>
      <c r="B16" s="3"/>
      <c r="C16" s="15" t="s">
        <v>48</v>
      </c>
      <c r="D16" s="16">
        <v>0.10549999999999998</v>
      </c>
      <c r="G16" s="4"/>
      <c r="H16" s="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3"/>
      <c r="B17" s="3"/>
      <c r="C17" s="15" t="s">
        <v>50</v>
      </c>
      <c r="D17" s="16">
        <v>5.6000000000000001E-2</v>
      </c>
      <c r="G17" s="4"/>
      <c r="H17" s="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3"/>
      <c r="B18" s="3"/>
      <c r="C18" s="14" t="s">
        <v>51</v>
      </c>
      <c r="D18" s="21">
        <v>0.21</v>
      </c>
      <c r="G18" s="4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3"/>
      <c r="B19" s="3"/>
      <c r="C19" s="23" t="s">
        <v>16</v>
      </c>
      <c r="D19" s="24">
        <f>(D11*D16)+(D12*D17*(1-D18))</f>
        <v>0.10514108865772873</v>
      </c>
      <c r="G19" s="4"/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3"/>
      <c r="B20" s="3"/>
      <c r="G20" s="4"/>
      <c r="H20" s="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3"/>
      <c r="B21" s="3"/>
      <c r="G21" s="4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7" t="s">
        <v>14</v>
      </c>
      <c r="B22" s="17"/>
      <c r="C22" s="18" t="s">
        <v>30</v>
      </c>
      <c r="D22" s="30">
        <v>0.03</v>
      </c>
      <c r="G22" s="4"/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7"/>
      <c r="B23" s="17"/>
      <c r="C23" s="31" t="s">
        <v>58</v>
      </c>
      <c r="D23" s="29">
        <v>0.21</v>
      </c>
      <c r="G23" s="4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7"/>
      <c r="B24" s="17"/>
      <c r="C24" s="31" t="s">
        <v>15</v>
      </c>
      <c r="D24" s="29">
        <v>0.03</v>
      </c>
      <c r="G24" s="4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7"/>
      <c r="B25" s="17"/>
      <c r="C25" s="31" t="s">
        <v>9</v>
      </c>
      <c r="D25" s="29">
        <v>0.05</v>
      </c>
      <c r="G25" s="4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7"/>
      <c r="B26" s="17"/>
      <c r="C26" s="31" t="s">
        <v>5</v>
      </c>
      <c r="D26" s="29">
        <v>0.02</v>
      </c>
      <c r="G26" s="4"/>
      <c r="H26" s="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7"/>
      <c r="B27" s="17"/>
      <c r="C27" s="18"/>
      <c r="D27" s="18"/>
      <c r="G27" s="4"/>
      <c r="H27" s="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7"/>
      <c r="B28" s="17"/>
      <c r="C28" s="18"/>
      <c r="D28" s="20"/>
      <c r="G28" s="4"/>
      <c r="H28" s="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7"/>
      <c r="B29" s="17"/>
      <c r="C29" s="32"/>
      <c r="G29" s="4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7"/>
      <c r="B30" s="3"/>
      <c r="G30" s="4"/>
      <c r="H30" s="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7"/>
      <c r="B31" s="3"/>
      <c r="G31" s="4"/>
      <c r="H31" s="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7"/>
      <c r="B32" s="3"/>
      <c r="G32" s="4"/>
      <c r="H32" s="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7"/>
      <c r="B33" s="3"/>
      <c r="G33" s="4"/>
      <c r="H33" s="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7"/>
      <c r="B34" s="3"/>
      <c r="G34" s="4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3"/>
      <c r="B35" s="3"/>
      <c r="G35" s="4"/>
      <c r="H35" s="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3"/>
      <c r="B36" s="3"/>
      <c r="G36" s="4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3"/>
      <c r="B37" s="3"/>
      <c r="G37" s="4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3"/>
      <c r="B38" s="3"/>
      <c r="G38" s="4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3"/>
      <c r="B39" s="3"/>
      <c r="G39" s="4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6.75" customHeight="1" x14ac:dyDescent="0.3">
      <c r="A40" s="3"/>
      <c r="B40" s="3"/>
      <c r="C40" s="9"/>
      <c r="D40" s="9"/>
      <c r="E40" s="9"/>
      <c r="F40" s="9"/>
      <c r="G40" s="9"/>
      <c r="H40" s="10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3"/>
      <c r="B41" s="3"/>
      <c r="C41" s="8"/>
      <c r="D41" s="8"/>
      <c r="E41" s="8"/>
      <c r="F41" s="8"/>
      <c r="G41" s="3"/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E789-4051-4191-9CEF-D4E41CBE0367}">
  <dimension ref="A1:AG164"/>
  <sheetViews>
    <sheetView zoomScale="106" zoomScaleNormal="106" workbookViewId="0">
      <selection activeCell="N30" sqref="N30"/>
    </sheetView>
  </sheetViews>
  <sheetFormatPr defaultRowHeight="14.4" x14ac:dyDescent="0.3"/>
  <cols>
    <col min="3" max="3" width="10" customWidth="1"/>
    <col min="5" max="5" width="10.109375" bestFit="1" customWidth="1"/>
    <col min="6" max="8" width="10.109375" customWidth="1"/>
    <col min="9" max="9" width="10.109375" bestFit="1" customWidth="1"/>
    <col min="10" max="11" width="10.109375" customWidth="1"/>
    <col min="12" max="12" width="1.5546875" customWidth="1"/>
    <col min="13" max="13" width="1" customWidth="1"/>
  </cols>
  <sheetData>
    <row r="1" spans="1:33" x14ac:dyDescent="0.3">
      <c r="A1" s="6"/>
      <c r="B1" s="6"/>
      <c r="C1" s="6"/>
      <c r="D1" s="6" t="s">
        <v>23</v>
      </c>
      <c r="E1" s="6"/>
      <c r="F1" s="6"/>
      <c r="G1" s="6"/>
      <c r="H1" s="6"/>
      <c r="I1" s="6"/>
      <c r="J1" s="6"/>
      <c r="K1" s="6"/>
      <c r="L1" s="4"/>
      <c r="M1" s="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x14ac:dyDescent="0.3">
      <c r="A2" s="7" t="s">
        <v>59</v>
      </c>
      <c r="B2" s="3"/>
      <c r="L2" s="4"/>
      <c r="M2" s="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3">
      <c r="A3" s="3"/>
      <c r="B3" s="3"/>
      <c r="C3" s="14" t="s">
        <v>56</v>
      </c>
      <c r="L3" s="4"/>
      <c r="M3" s="4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3">
      <c r="A4" s="12"/>
      <c r="B4" s="3"/>
      <c r="C4" t="s">
        <v>57</v>
      </c>
      <c r="E4" s="12"/>
      <c r="F4" s="12"/>
      <c r="G4" s="12"/>
      <c r="H4" s="12"/>
      <c r="L4" s="4"/>
      <c r="M4" s="4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3">
      <c r="A5" s="3"/>
      <c r="B5" s="3"/>
      <c r="C5" t="s">
        <v>60</v>
      </c>
      <c r="L5" s="4"/>
      <c r="M5" s="4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3">
      <c r="A6" s="3"/>
      <c r="B6" s="3"/>
      <c r="L6" s="4"/>
      <c r="M6" s="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3">
      <c r="A7" s="3"/>
      <c r="B7" s="3"/>
      <c r="L7" s="4"/>
      <c r="M7" s="4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3">
      <c r="A8" s="3"/>
      <c r="B8" s="3"/>
      <c r="C8" s="14"/>
      <c r="D8" s="14"/>
      <c r="E8" s="1"/>
      <c r="F8" s="1"/>
      <c r="G8" s="1"/>
      <c r="H8" s="1"/>
      <c r="I8" s="1"/>
      <c r="J8" s="1"/>
      <c r="L8" s="4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3">
      <c r="B9" s="3"/>
      <c r="C9" s="14"/>
      <c r="D9" s="14"/>
      <c r="E9" s="1"/>
      <c r="F9" s="1"/>
      <c r="G9" s="1"/>
      <c r="H9" s="1"/>
      <c r="I9" s="1"/>
      <c r="J9" s="1"/>
      <c r="L9" s="4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3">
      <c r="A10" s="3"/>
      <c r="B10" s="3"/>
      <c r="C10" s="14"/>
      <c r="D10" s="14"/>
      <c r="E10" s="1"/>
      <c r="F10" s="1"/>
      <c r="G10" s="1"/>
      <c r="H10" s="1"/>
      <c r="I10" s="1"/>
      <c r="J10" s="1"/>
      <c r="L10" s="4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3">
      <c r="A11" s="3"/>
      <c r="B11" s="3"/>
      <c r="C11" s="15"/>
      <c r="D11" s="14"/>
      <c r="E11" s="16"/>
      <c r="F11" s="16"/>
      <c r="G11" s="16"/>
      <c r="H11" s="16"/>
      <c r="I11" s="1"/>
      <c r="J11" s="1"/>
      <c r="L11" s="4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3">
      <c r="A12" s="3"/>
      <c r="B12" s="3"/>
      <c r="C12" s="15"/>
      <c r="D12" s="14"/>
      <c r="E12" s="16"/>
      <c r="F12" s="16"/>
      <c r="G12" s="16"/>
      <c r="H12" s="16"/>
      <c r="I12" s="21"/>
      <c r="J12" s="21"/>
      <c r="L12" s="4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3">
      <c r="A13" s="3"/>
      <c r="B13" s="3"/>
      <c r="C13" s="14"/>
      <c r="D13" s="14"/>
      <c r="E13" s="21"/>
      <c r="F13" s="21"/>
      <c r="G13" s="21"/>
      <c r="H13" s="21"/>
      <c r="L13" s="4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">
      <c r="A14" s="3"/>
      <c r="B14" s="3"/>
      <c r="C14" s="14"/>
      <c r="D14" s="14"/>
      <c r="E14" s="2"/>
      <c r="F14" s="2"/>
      <c r="G14" s="2"/>
      <c r="H14" s="2"/>
      <c r="L14" s="4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">
      <c r="A15" s="3"/>
      <c r="B15" s="3"/>
      <c r="L15" s="4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6.75" customHeight="1" x14ac:dyDescent="0.3">
      <c r="A16" s="3"/>
      <c r="B16" s="3"/>
      <c r="C16" s="9"/>
      <c r="D16" s="9"/>
      <c r="E16" s="9"/>
      <c r="F16" s="9"/>
      <c r="G16" s="9"/>
      <c r="H16" s="9"/>
      <c r="I16" s="9"/>
      <c r="J16" s="9"/>
      <c r="K16" s="9"/>
      <c r="L16" s="9"/>
      <c r="M16" s="10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3">
      <c r="A17" s="3"/>
      <c r="B17" s="3"/>
      <c r="C17" s="8"/>
      <c r="D17" s="8"/>
      <c r="E17" s="8"/>
      <c r="F17" s="8"/>
      <c r="G17" s="8"/>
      <c r="H17" s="8"/>
      <c r="I17" s="8"/>
      <c r="J17" s="8"/>
      <c r="K17" s="8"/>
      <c r="L17" s="3"/>
      <c r="M17" s="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DCF</vt:lpstr>
      <vt:lpstr>WAAC &amp; Assumptions</vt:lpstr>
      <vt:lpstr>Important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2026-01-13T16:27:08Z</dcterms:created>
  <dcterms:modified xsi:type="dcterms:W3CDTF">2026-02-09T13:18:55Z</dcterms:modified>
</cp:coreProperties>
</file>