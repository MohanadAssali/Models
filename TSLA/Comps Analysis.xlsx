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6F6A69F-FE1B-4859-8AD7-F12172E62370}" xr6:coauthVersionLast="47" xr6:coauthVersionMax="47" xr10:uidLastSave="{00000000-0000-0000-0000-000000000000}"/>
  <bookViews>
    <workbookView xWindow="-28920" yWindow="660" windowWidth="29040" windowHeight="15720" firstSheet="1" activeTab="1" xr2:uid="{00000000-000D-0000-FFFF-FFFF00000000}"/>
  </bookViews>
  <sheets>
    <sheet name="BoostToolkitClipBoard2010" sheetId="11" state="veryHidden" r:id="rId1"/>
    <sheet name="Outputs" sheetId="15" r:id="rId2"/>
    <sheet name="Inputs" sheetId="14" r:id="rId3"/>
  </sheets>
  <externalReferences>
    <externalReference r:id="rId4"/>
    <externalReference r:id="rId5"/>
  </externalReferences>
  <definedNames>
    <definedName name="Inv_Cap">[1]Results!$E$182:$AD$182</definedName>
    <definedName name="NOPLAT">[1]Results!$E$145:$AD$145</definedName>
    <definedName name="One">'[1]Forecast Drivers'!$D$330</definedName>
    <definedName name="Products">[2]Array0!$B$5:$C$7</definedName>
    <definedName name="Rev">'[1]Forecast Drivers'!$E$25:$S$25</definedName>
  </definedNames>
  <calcPr calcId="191029"/>
</workbook>
</file>

<file path=xl/calcChain.xml><?xml version="1.0" encoding="utf-8"?>
<calcChain xmlns="http://schemas.openxmlformats.org/spreadsheetml/2006/main">
  <c r="H138" i="14" l="1"/>
  <c r="H137" i="14"/>
  <c r="H135" i="14"/>
  <c r="H134" i="14"/>
  <c r="H133" i="14"/>
  <c r="H151" i="14" s="1"/>
  <c r="H158" i="14" s="1"/>
  <c r="H156" i="14"/>
  <c r="H155" i="14"/>
  <c r="H154" i="14"/>
  <c r="H153" i="14"/>
  <c r="H150" i="14"/>
  <c r="H149" i="14"/>
  <c r="H148" i="14"/>
  <c r="H146" i="14"/>
  <c r="H145" i="14"/>
  <c r="H144" i="14"/>
  <c r="H143" i="14"/>
  <c r="E143" i="14"/>
  <c r="H127" i="14"/>
  <c r="G127" i="14"/>
  <c r="F127" i="14"/>
  <c r="H125" i="14"/>
  <c r="E125" i="14"/>
  <c r="F125" i="14"/>
  <c r="G125" i="14"/>
  <c r="H92" i="14" l="1"/>
  <c r="H91" i="14"/>
  <c r="H90" i="14"/>
  <c r="H89" i="14"/>
  <c r="H81" i="14"/>
  <c r="H82" i="14"/>
  <c r="H83" i="14"/>
  <c r="H84" i="14"/>
  <c r="H63" i="14"/>
  <c r="H66" i="14" s="1"/>
  <c r="F76" i="14"/>
  <c r="H36" i="14"/>
  <c r="G36" i="14"/>
  <c r="F36" i="14"/>
  <c r="E36" i="14"/>
  <c r="E27" i="14"/>
  <c r="F27" i="14"/>
  <c r="G27" i="14"/>
  <c r="H27" i="14"/>
  <c r="E30" i="14"/>
  <c r="E34" i="14" s="1"/>
  <c r="F30" i="14"/>
  <c r="F34" i="14" s="1"/>
  <c r="G30" i="14"/>
  <c r="G34" i="14" s="1"/>
  <c r="H30" i="14"/>
  <c r="H34" i="14" s="1"/>
  <c r="H45" i="14"/>
  <c r="H48" i="14" s="1"/>
  <c r="H19" i="14"/>
  <c r="H140" i="14"/>
  <c r="H131" i="14"/>
  <c r="H114" i="14"/>
  <c r="H105" i="14"/>
  <c r="H96" i="14"/>
  <c r="H86" i="14"/>
  <c r="H78" i="14"/>
  <c r="H60" i="14"/>
  <c r="H42" i="14"/>
  <c r="H24" i="14"/>
  <c r="E81" i="14"/>
  <c r="F81" i="14"/>
  <c r="G81" i="14"/>
  <c r="H76" i="14" l="1"/>
  <c r="H70" i="14"/>
  <c r="H72" i="14" s="1"/>
  <c r="H52" i="14"/>
  <c r="H54" i="14" s="1"/>
  <c r="H40" i="14"/>
  <c r="G40" i="14"/>
  <c r="F40" i="14"/>
  <c r="E40" i="14"/>
  <c r="G63" i="14"/>
  <c r="G66" i="14" s="1"/>
  <c r="F63" i="14"/>
  <c r="F66" i="14" s="1"/>
  <c r="E63" i="14"/>
  <c r="I42" i="14"/>
  <c r="G45" i="14"/>
  <c r="G48" i="14" s="1"/>
  <c r="G52" i="14" s="1"/>
  <c r="G54" i="14" s="1"/>
  <c r="F45" i="14"/>
  <c r="F48" i="14" s="1"/>
  <c r="F52" i="14" s="1"/>
  <c r="F54" i="14" s="1"/>
  <c r="E45" i="14"/>
  <c r="E48" i="14" s="1"/>
  <c r="E52" i="14" s="1"/>
  <c r="E54" i="14" s="1"/>
  <c r="E42" i="14"/>
  <c r="F42" i="14"/>
  <c r="G42" i="14"/>
  <c r="E60" i="14"/>
  <c r="F60" i="14"/>
  <c r="G60" i="14"/>
  <c r="I60" i="14"/>
  <c r="E89" i="14"/>
  <c r="E86" i="14"/>
  <c r="F86" i="14"/>
  <c r="G86" i="14"/>
  <c r="I86" i="14"/>
  <c r="F89" i="14"/>
  <c r="G89" i="14"/>
  <c r="E92" i="14"/>
  <c r="F92" i="14"/>
  <c r="G92" i="14"/>
  <c r="E105" i="14"/>
  <c r="F105" i="14"/>
  <c r="G105" i="14"/>
  <c r="I105" i="14"/>
  <c r="E114" i="14"/>
  <c r="F114" i="14"/>
  <c r="G114" i="14"/>
  <c r="I114" i="14"/>
  <c r="E66" i="14" l="1"/>
  <c r="E76" i="14" s="1"/>
  <c r="F70" i="14"/>
  <c r="F72" i="14" s="1"/>
  <c r="G70" i="14"/>
  <c r="G72" i="14" s="1"/>
  <c r="G76" i="14"/>
  <c r="B11" i="15"/>
  <c r="I24" i="14"/>
  <c r="I78" i="14"/>
  <c r="I96" i="14"/>
  <c r="I131" i="14"/>
  <c r="I140" i="14"/>
  <c r="B22" i="15"/>
  <c r="B21" i="15"/>
  <c r="B20" i="15"/>
  <c r="B19" i="15"/>
  <c r="T14" i="15"/>
  <c r="S14" i="15"/>
  <c r="R14" i="15"/>
  <c r="P14" i="15"/>
  <c r="N14" i="15"/>
  <c r="M14" i="15"/>
  <c r="K14" i="15"/>
  <c r="I14" i="15"/>
  <c r="F14" i="15"/>
  <c r="B14" i="15"/>
  <c r="T13" i="15"/>
  <c r="S13" i="15"/>
  <c r="R13" i="15"/>
  <c r="P13" i="15"/>
  <c r="N13" i="15"/>
  <c r="M13" i="15"/>
  <c r="K13" i="15"/>
  <c r="I13" i="15"/>
  <c r="F13" i="15"/>
  <c r="B13" i="15"/>
  <c r="T12" i="15"/>
  <c r="S12" i="15"/>
  <c r="R12" i="15"/>
  <c r="P12" i="15"/>
  <c r="N12" i="15"/>
  <c r="M12" i="15"/>
  <c r="K12" i="15"/>
  <c r="I12" i="15"/>
  <c r="F12" i="15"/>
  <c r="B12" i="15"/>
  <c r="T11" i="15"/>
  <c r="S11" i="15"/>
  <c r="R11" i="15"/>
  <c r="P11" i="15"/>
  <c r="N11" i="15"/>
  <c r="M11" i="15"/>
  <c r="K11" i="15"/>
  <c r="I11" i="15"/>
  <c r="F11" i="15"/>
  <c r="G140" i="14"/>
  <c r="F140" i="14"/>
  <c r="E140" i="14"/>
  <c r="G131" i="14"/>
  <c r="F131" i="14"/>
  <c r="E131" i="14"/>
  <c r="G96" i="14"/>
  <c r="F96" i="14"/>
  <c r="E96" i="14"/>
  <c r="G78" i="14"/>
  <c r="F78" i="14"/>
  <c r="E78" i="14"/>
  <c r="G24" i="14"/>
  <c r="F24" i="14"/>
  <c r="E24" i="14"/>
  <c r="F133" i="14"/>
  <c r="F156" i="14" s="1"/>
  <c r="G133" i="14"/>
  <c r="G156" i="14" s="1"/>
  <c r="E133" i="14"/>
  <c r="E156" i="14" s="1"/>
  <c r="Q14" i="15"/>
  <c r="Q13" i="15"/>
  <c r="Q12" i="15"/>
  <c r="Q11" i="15"/>
  <c r="L14" i="15"/>
  <c r="L13" i="15"/>
  <c r="L12" i="15"/>
  <c r="L11" i="15"/>
  <c r="F84" i="14"/>
  <c r="F146" i="14" s="1"/>
  <c r="G84" i="14"/>
  <c r="G146" i="14" s="1"/>
  <c r="E84" i="14"/>
  <c r="E146" i="14" s="1"/>
  <c r="F19" i="14"/>
  <c r="F134" i="14" s="1"/>
  <c r="G19" i="14"/>
  <c r="G134" i="14" s="1"/>
  <c r="E19" i="14"/>
  <c r="E70" i="14" l="1"/>
  <c r="E72" i="14" s="1"/>
  <c r="E134" i="14"/>
  <c r="E135" i="14"/>
  <c r="N21" i="15"/>
  <c r="C13" i="15"/>
  <c r="C11" i="15"/>
  <c r="I19" i="15"/>
  <c r="S21" i="15"/>
  <c r="C12" i="15"/>
  <c r="C14" i="15"/>
  <c r="N19" i="15"/>
  <c r="S19" i="15"/>
  <c r="I21" i="15"/>
  <c r="I20" i="15"/>
  <c r="N20" i="15"/>
  <c r="S20" i="15"/>
  <c r="I22" i="15"/>
  <c r="N22" i="15"/>
  <c r="S22" i="15"/>
  <c r="T22" i="15"/>
  <c r="E151" i="14"/>
  <c r="F151" i="14"/>
  <c r="T20" i="15" s="1"/>
  <c r="G151" i="14"/>
  <c r="T21" i="15" s="1"/>
  <c r="E127" i="14"/>
  <c r="E137" i="14" s="1"/>
  <c r="G137" i="14"/>
  <c r="G91" i="14"/>
  <c r="E91" i="14"/>
  <c r="F91" i="14"/>
  <c r="T19" i="15" l="1"/>
  <c r="E158" i="14"/>
  <c r="F137" i="14"/>
  <c r="S28" i="15"/>
  <c r="S27" i="15"/>
  <c r="S25" i="15"/>
  <c r="S26" i="15"/>
  <c r="S24" i="15"/>
  <c r="N26" i="15"/>
  <c r="N24" i="15"/>
  <c r="N27" i="15"/>
  <c r="N25" i="15"/>
  <c r="I28" i="15"/>
  <c r="I27" i="15"/>
  <c r="I25" i="15"/>
  <c r="I26" i="15"/>
  <c r="I24" i="15"/>
  <c r="T28" i="15"/>
  <c r="T27" i="15"/>
  <c r="T25" i="15"/>
  <c r="T26" i="15"/>
  <c r="T24" i="15"/>
  <c r="H13" i="15"/>
  <c r="N28" i="15"/>
  <c r="H14" i="15"/>
  <c r="H11" i="15"/>
  <c r="H12" i="15"/>
  <c r="G90" i="14"/>
  <c r="G158" i="14"/>
  <c r="F158" i="14"/>
  <c r="F90" i="14"/>
  <c r="E90" i="14"/>
  <c r="F83" i="14"/>
  <c r="G83" i="14"/>
  <c r="E83" i="14"/>
  <c r="D11" i="15"/>
  <c r="G135" i="14"/>
  <c r="D13" i="15" s="1"/>
  <c r="D14" i="15"/>
  <c r="F135" i="14"/>
  <c r="D12" i="15" l="1"/>
  <c r="G14" i="15"/>
  <c r="G138" i="14"/>
  <c r="G149" i="14" s="1"/>
  <c r="G13" i="15"/>
  <c r="E138" i="14"/>
  <c r="F138" i="14"/>
  <c r="F150" i="14" s="1"/>
  <c r="G11" i="15"/>
  <c r="G12" i="15"/>
  <c r="G82" i="14"/>
  <c r="F82" i="14"/>
  <c r="E82" i="14"/>
  <c r="E153" i="14" l="1"/>
  <c r="F19" i="15"/>
  <c r="K19" i="15"/>
  <c r="G153" i="14"/>
  <c r="G144" i="14"/>
  <c r="F145" i="14"/>
  <c r="F153" i="14"/>
  <c r="G154" i="14"/>
  <c r="E145" i="14"/>
  <c r="G148" i="14"/>
  <c r="G145" i="14"/>
  <c r="G155" i="14"/>
  <c r="E154" i="14"/>
  <c r="E155" i="14"/>
  <c r="E149" i="14"/>
  <c r="E148" i="14"/>
  <c r="E144" i="14"/>
  <c r="F144" i="14"/>
  <c r="F148" i="14"/>
  <c r="F154" i="14"/>
  <c r="F149" i="14"/>
  <c r="F155" i="14"/>
  <c r="P22" i="15"/>
  <c r="K22" i="15"/>
  <c r="F22" i="15"/>
  <c r="R22" i="15"/>
  <c r="M22" i="15"/>
  <c r="H22" i="15"/>
  <c r="Q22" i="15"/>
  <c r="L22" i="15"/>
  <c r="G22" i="15"/>
  <c r="R19" i="15"/>
  <c r="M19" i="15"/>
  <c r="H19" i="15"/>
  <c r="Q19" i="15"/>
  <c r="L19" i="15"/>
  <c r="G19" i="15"/>
  <c r="P19" i="15"/>
  <c r="R21" i="15"/>
  <c r="M21" i="15"/>
  <c r="H21" i="15"/>
  <c r="Q21" i="15"/>
  <c r="L21" i="15"/>
  <c r="G21" i="15"/>
  <c r="P21" i="15"/>
  <c r="K21" i="15"/>
  <c r="F21" i="15"/>
  <c r="E150" i="14"/>
  <c r="F143" i="14"/>
  <c r="G143" i="14"/>
  <c r="G150" i="14"/>
  <c r="P20" i="15"/>
  <c r="K20" i="15"/>
  <c r="F20" i="15"/>
  <c r="R20" i="15"/>
  <c r="M20" i="15"/>
  <c r="H20" i="15"/>
  <c r="Q20" i="15"/>
  <c r="L20" i="15"/>
  <c r="G20" i="15"/>
  <c r="G28" i="15" l="1"/>
  <c r="G24" i="15"/>
  <c r="G27" i="15"/>
  <c r="G25" i="15"/>
  <c r="G26" i="15"/>
  <c r="L28" i="15"/>
  <c r="L25" i="15"/>
  <c r="L26" i="15"/>
  <c r="L24" i="15"/>
  <c r="L27" i="15"/>
  <c r="P28" i="15"/>
  <c r="P24" i="15"/>
  <c r="P27" i="15"/>
  <c r="P25" i="15"/>
  <c r="P26" i="15"/>
  <c r="Q28" i="15"/>
  <c r="Q24" i="15"/>
  <c r="Q27" i="15"/>
  <c r="Q26" i="15"/>
  <c r="Q25" i="15"/>
  <c r="H28" i="15"/>
  <c r="H24" i="15"/>
  <c r="H27" i="15"/>
  <c r="H25" i="15"/>
  <c r="H26" i="15"/>
  <c r="M28" i="15"/>
  <c r="M26" i="15"/>
  <c r="M24" i="15"/>
  <c r="M27" i="15"/>
  <c r="M25" i="15"/>
  <c r="F28" i="15"/>
  <c r="F26" i="15"/>
  <c r="F24" i="15"/>
  <c r="F25" i="15"/>
  <c r="F27" i="15"/>
  <c r="R28" i="15"/>
  <c r="R24" i="15"/>
  <c r="R25" i="15"/>
  <c r="R27" i="15"/>
  <c r="R26" i="15"/>
  <c r="K28" i="15"/>
  <c r="K25" i="15"/>
  <c r="K26" i="15"/>
  <c r="K24" i="15"/>
  <c r="K27" i="15"/>
</calcChain>
</file>

<file path=xl/sharedStrings.xml><?xml version="1.0" encoding="utf-8"?>
<sst xmlns="http://schemas.openxmlformats.org/spreadsheetml/2006/main" count="286" uniqueCount="148">
  <si>
    <t>EXTR</t>
  </si>
  <si>
    <t>Ticker</t>
  </si>
  <si>
    <t>Date of latest filing</t>
  </si>
  <si>
    <t>Stock price on current date</t>
  </si>
  <si>
    <t xml:space="preserve">Basic shares outstanding </t>
  </si>
  <si>
    <t>Net shares from exercisable options</t>
  </si>
  <si>
    <t>Total shares from convertible debt</t>
  </si>
  <si>
    <t>Total shares from convertible preferred</t>
  </si>
  <si>
    <t>Fully diluted shares</t>
  </si>
  <si>
    <t>LAST FISCAL YEAR</t>
  </si>
  <si>
    <t>Revenues</t>
  </si>
  <si>
    <t>EBIT</t>
  </si>
  <si>
    <t>EBITDA</t>
  </si>
  <si>
    <t>LAST QUARTER</t>
  </si>
  <si>
    <t>EPS</t>
  </si>
  <si>
    <t>Source Document</t>
  </si>
  <si>
    <t>LT debt</t>
  </si>
  <si>
    <t>EPS - latest FYE</t>
  </si>
  <si>
    <t>EBIT - latest FYE</t>
  </si>
  <si>
    <t>EBITDA - latest FYE</t>
  </si>
  <si>
    <t>Revenues - latest FYE</t>
  </si>
  <si>
    <t xml:space="preserve">Date of latest fiscal year end (FYE) </t>
  </si>
  <si>
    <t>Last Twelve Months (LTM)</t>
  </si>
  <si>
    <t>Year 1</t>
  </si>
  <si>
    <t>Year 2</t>
  </si>
  <si>
    <t>Long-term growth rate</t>
  </si>
  <si>
    <t>Mean</t>
  </si>
  <si>
    <t>High</t>
  </si>
  <si>
    <t>Low</t>
  </si>
  <si>
    <t>Median</t>
  </si>
  <si>
    <t>P/E</t>
  </si>
  <si>
    <t>Pretax income</t>
  </si>
  <si>
    <t>Noncontrolling interests</t>
  </si>
  <si>
    <t>LAST TWELVE MONTHS (LTM)</t>
  </si>
  <si>
    <t>Diluted EPS</t>
  </si>
  <si>
    <t>YEAR 1 FORECAST - CALENDAR YEAR</t>
  </si>
  <si>
    <t>YEAR 2 FORECAST - CALENDAR YEAR</t>
  </si>
  <si>
    <t>S&amp;P/CIQ</t>
  </si>
  <si>
    <t>Source for estimates:</t>
  </si>
  <si>
    <t>Year ending date</t>
  </si>
  <si>
    <t>LTM ending date:</t>
  </si>
  <si>
    <t>Revenues - LTM</t>
  </si>
  <si>
    <t>EBITDA - LTM</t>
  </si>
  <si>
    <t>EBIT - LTM</t>
  </si>
  <si>
    <t>EPS - LTM</t>
  </si>
  <si>
    <t>LONG TERM (5 YEAR) GROWTH RATE</t>
  </si>
  <si>
    <t>Revenues - Year 1</t>
  </si>
  <si>
    <t>EBITDA - Year 1</t>
  </si>
  <si>
    <t>EBIT - Year 1</t>
  </si>
  <si>
    <t>EPS - Year 1</t>
  </si>
  <si>
    <t>Revenues - Year 2</t>
  </si>
  <si>
    <t>EBITDA - Year 2</t>
  </si>
  <si>
    <t>EBIT - Year 2</t>
  </si>
  <si>
    <t>EPS - Year 2</t>
  </si>
  <si>
    <t>Multiples</t>
  </si>
  <si>
    <t xml:space="preserve">EV / Revenues - LTM </t>
  </si>
  <si>
    <t xml:space="preserve">EV / EBITDA - LTM </t>
  </si>
  <si>
    <t xml:space="preserve">EV / EBIT - LTM </t>
  </si>
  <si>
    <t xml:space="preserve">P/E - LTM </t>
  </si>
  <si>
    <t>EV / Revenues - Year 1</t>
  </si>
  <si>
    <t>EV / EBITDA - Year 1</t>
  </si>
  <si>
    <t>EV / EBIT - Year 1</t>
  </si>
  <si>
    <t>P/E - Year 1</t>
  </si>
  <si>
    <t>EV / Revenues - Year 2</t>
  </si>
  <si>
    <t>EV / EBITDA - Year 2</t>
  </si>
  <si>
    <t>EV / EBIT - Year 2</t>
  </si>
  <si>
    <t>P/E - Year 2</t>
  </si>
  <si>
    <t>PE/LTG (PEG ratio)</t>
  </si>
  <si>
    <t>Enterprise value (EV)</t>
  </si>
  <si>
    <t>Market capitalization (mm)</t>
  </si>
  <si>
    <t>MARKET VALUATION</t>
  </si>
  <si>
    <t>MULTIPLES SUMMARY</t>
  </si>
  <si>
    <t>Last twelve month (LTM)</t>
  </si>
  <si>
    <t xml:space="preserve">Revenues </t>
  </si>
  <si>
    <t>EV / Revenues</t>
  </si>
  <si>
    <t>EV / EBITDA</t>
  </si>
  <si>
    <t>EV / EBIT</t>
  </si>
  <si>
    <t xml:space="preserve">P/E </t>
  </si>
  <si>
    <t>LT growth rate</t>
  </si>
  <si>
    <t>PEG ratio</t>
  </si>
  <si>
    <t>Year 1 Forecast - Calendar Year</t>
  </si>
  <si>
    <t>Year 2 Forecast - Calendar Year</t>
  </si>
  <si>
    <t>Name</t>
  </si>
  <si>
    <t xml:space="preserve">Gross Profit </t>
  </si>
  <si>
    <t xml:space="preserve">Net Income </t>
  </si>
  <si>
    <t>Share price date</t>
  </si>
  <si>
    <t>Inputs</t>
  </si>
  <si>
    <t>Outputs</t>
  </si>
  <si>
    <t>Comps Analysis</t>
  </si>
  <si>
    <t>Mohanad Assali</t>
  </si>
  <si>
    <t>COGS</t>
  </si>
  <si>
    <t>SG&amp;A</t>
  </si>
  <si>
    <t>Other Expenses</t>
  </si>
  <si>
    <t>Interest expense</t>
  </si>
  <si>
    <t>Non operating income</t>
  </si>
  <si>
    <t>Non operating expense</t>
  </si>
  <si>
    <t>Taxes (Benefit)</t>
  </si>
  <si>
    <t>D&amp;A</t>
  </si>
  <si>
    <t>Shares Data</t>
  </si>
  <si>
    <t>Market Data Inputs</t>
  </si>
  <si>
    <t>Financials</t>
  </si>
  <si>
    <t>LAST QUARTER MINUS 1</t>
  </si>
  <si>
    <t>S&amp;P/CIQ Forecasts</t>
  </si>
  <si>
    <t>10-Q Q3 2025</t>
  </si>
  <si>
    <t>Balance Sheet Data</t>
  </si>
  <si>
    <t>ST Data (Incl. current portion)</t>
  </si>
  <si>
    <t>preferred stock</t>
  </si>
  <si>
    <t>Gross Profit</t>
  </si>
  <si>
    <t>Cash &amp; equivalents</t>
  </si>
  <si>
    <t>Net Debt</t>
  </si>
  <si>
    <t>BYDDF</t>
  </si>
  <si>
    <t>BYD</t>
  </si>
  <si>
    <t>NIO</t>
  </si>
  <si>
    <t>Volume Competitor</t>
  </si>
  <si>
    <t>Luxury Competitor</t>
  </si>
  <si>
    <t>US Competitor</t>
  </si>
  <si>
    <t>NIO Inc.</t>
  </si>
  <si>
    <t>Rivian Automotive</t>
  </si>
  <si>
    <t>Tesla</t>
  </si>
  <si>
    <t>RIVN</t>
  </si>
  <si>
    <t>SG&amp;A + R&amp;D</t>
  </si>
  <si>
    <t>Interest Expense</t>
  </si>
  <si>
    <t>Non-operating Income</t>
  </si>
  <si>
    <t>Non-operating Expense</t>
  </si>
  <si>
    <t>Pretax Income</t>
  </si>
  <si>
    <t>Net Income</t>
  </si>
  <si>
    <t>Q3 2025 (Q-1)</t>
  </si>
  <si>
    <t>last modified 2/10/2026</t>
  </si>
  <si>
    <t>Metric</t>
  </si>
  <si>
    <t>LAST TWELVE MONTHS</t>
  </si>
  <si>
    <t>Ending Date</t>
  </si>
  <si>
    <t>LATEST FISCAL YEAR</t>
  </si>
  <si>
    <t>FY 2025</t>
  </si>
  <si>
    <t>YEAR 1 FORECAST (CY 2026)</t>
  </si>
  <si>
    <t>Source for estimates</t>
  </si>
  <si>
    <t>YEAR 2 FORECAST (CY 2027)</t>
  </si>
  <si>
    <t>LT Debt</t>
  </si>
  <si>
    <t>Net Debt (Cash)</t>
  </si>
  <si>
    <t>Rivian (RIVN)</t>
  </si>
  <si>
    <t>ST Debt (Current Portion)</t>
  </si>
  <si>
    <t>Noncontrolling Interests</t>
  </si>
  <si>
    <t>Preferred Stock</t>
  </si>
  <si>
    <t>Cash &amp; Equivalents</t>
  </si>
  <si>
    <t>Share Price</t>
  </si>
  <si>
    <t>Diluted Shares Outst.</t>
  </si>
  <si>
    <t>Market Capitalization</t>
  </si>
  <si>
    <t>Enterprise Value</t>
  </si>
  <si>
    <t>EV Multiples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</si>
</sst>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#,##0.00_);\(#,##0\)"/>
    <numFmt numFmtId="165" formatCode="#,##0.0%_);\(#,##0.0%\)"/>
    <numFmt numFmtId="166" formatCode="0.0\ \x"/>
    <numFmt numFmtId="167" formatCode="#,##0.00\ ;\(#,##0.00\)"/>
    <numFmt numFmtId="168" formatCode="&quot;$&quot;#,##0.00\ ;\(&quot;$&quot;#,##0.00\)"/>
    <numFmt numFmtId="169" formatCode="0.0%_);\(0.0%\)"/>
    <numFmt numFmtId="170" formatCode="0.000\ \x&quot;rate&quot;"/>
    <numFmt numFmtId="171" formatCode="#,##0.000_);[Red]\(#,##0.000\)"/>
    <numFmt numFmtId="172" formatCode="0.00_);\(0.00\);0.00"/>
    <numFmt numFmtId="173" formatCode="\C&quot;$&quot;#,##0.00_);[Red]\(&quot;$&quot;#,##0.00\)"/>
    <numFmt numFmtId="174" formatCode="#,##0%_);\(#,##0.0%\)"/>
    <numFmt numFmtId="175" formatCode="_(* #,##0.00000000_);_(* \(#,##0.00000000\);_(* &quot;-&quot;?_);_(@_)"/>
    <numFmt numFmtId="176" formatCode="mmm\-d\-yyyy"/>
    <numFmt numFmtId="177" formatCode="mmm\-yyyy"/>
    <numFmt numFmtId="178" formatCode="yyyy"/>
    <numFmt numFmtId="179" formatCode="0.00\x&quot;rate&quot;"/>
    <numFmt numFmtId="180" formatCode="0.0&quot;  &quot;"/>
    <numFmt numFmtId="181" formatCode="&quot;$&quot;#,##0.0\ ;[Red]\(&quot;$&quot;#,##0\)"/>
    <numFmt numFmtId="182" formatCode="_(&quot;$&quot;* #,##0.00_);_(&quot;$&quot;* \(#,##0.00\);_(&quot;$&quot;* &quot;-&quot;?_);_(@_)"/>
    <numFmt numFmtId="183" formatCode="&quot;$&quot;#,##0.000_);[Red]\(&quot;$&quot;#,##0.000\)"/>
    <numFmt numFmtId="184" formatCode="&quot;$&quot;#,##0.00&quot;A&quot;;[Red]\(&quot;$&quot;#,##0.00\)&quot;A&quot;"/>
    <numFmt numFmtId="185" formatCode="#,##0.0\ ;[Red]\(&quot;$&quot;#,##0\)"/>
    <numFmt numFmtId="186" formatCode="&quot;$&quot;#,##0.00&quot;E&quot;;[Red]\(&quot;$&quot;#,##0.00\)&quot;E&quot;"/>
    <numFmt numFmtId="187" formatCode="_([$€-2]* #,##0.00_);_([$€-2]* \(#,##0.00\);_([$€-2]* &quot;-&quot;??_)"/>
    <numFmt numFmtId="188" formatCode="#,##0.00;\(#,##0.00\)"/>
    <numFmt numFmtId="189" formatCode=".%\,\(0.0%%;\t"/>
    <numFmt numFmtId="190" formatCode="#,##0.0_);[Red]\(#,##0.0\)"/>
    <numFmt numFmtId="191" formatCode="0.0%_);[Red]\(0.0%\)"/>
    <numFmt numFmtId="192" formatCode="0.00_);\(0.00\);0.00_)"/>
    <numFmt numFmtId="193" formatCode="0.0%"/>
    <numFmt numFmtId="194" formatCode="#,##0\x"/>
    <numFmt numFmtId="195" formatCode="&quot;TKR&quot;\ 0"/>
    <numFmt numFmtId="196" formatCode=".%\,\(0.%%;\t"/>
    <numFmt numFmtId="197" formatCode="&quot;$&quot;#,###.0\ \ "/>
    <numFmt numFmtId="198" formatCode="#,##0.00\x_);[Red]\(#,##0.00\x\)"/>
    <numFmt numFmtId="199" formatCode="#,##0.0_);\(#,##0.0\)"/>
    <numFmt numFmtId="200" formatCode="#,##0.000_);\(#,##0.000\)"/>
    <numFmt numFmtId="201" formatCode="#,##0.00\x_);[Red]\(#,##0.00\x\);&quot;--  &quot;"/>
    <numFmt numFmtId="202" formatCode="_(* #,##0.0_);_(* \(#,##0.0\);_(* &quot;-&quot;??_);_(@_)"/>
    <numFmt numFmtId="203" formatCode="0.0\x_);[Red]\(0.0\x\)"/>
    <numFmt numFmtId="204" formatCode="0.0\ "/>
    <numFmt numFmtId="205" formatCode="&quot;$&quot;#,##0.0;\(&quot;$&quot;#,##0.00\)"/>
    <numFmt numFmtId="206" formatCode="#,##0.00%_);\(#,##0.00%\)"/>
    <numFmt numFmtId="207" formatCode="0.00\%;\-0.00\%;0.00\%"/>
    <numFmt numFmtId="208" formatCode="0.0%\ ;\(0.0%\)"/>
    <numFmt numFmtId="209" formatCode="_(&quot;$&quot;* #,##0_);_(&quot;$&quot;* \(#,##0\);_(&quot;$&quot;* &quot;-&quot;??_);_(@_)"/>
    <numFmt numFmtId="210" formatCode="&quot;$&quot;0.00\ "/>
    <numFmt numFmtId="211" formatCode="0.0\ \ \ \ \ "/>
    <numFmt numFmtId="212" formatCode="0.00\x;\-0.00\x;0.00\x"/>
    <numFmt numFmtId="213" formatCode="&quot;$&quot;#,##0.000_);\(&quot;$&quot;#,##0.000\)"/>
    <numFmt numFmtId="214" formatCode="#,##0.0_);\(#,##0.0\);_(* &quot;-&quot;_)"/>
    <numFmt numFmtId="215" formatCode="_(&quot;$&quot;* #,##0.00_);_(&quot;$&quot;* \(#,##0.00\);_(* &quot;-&quot;_);_(@_)"/>
    <numFmt numFmtId="216" formatCode="0.00%_);[Red]\(0.00%\)"/>
    <numFmt numFmtId="217" formatCode="#,##0.0\x_);\(#,##0.0\x\)"/>
    <numFmt numFmtId="218" formatCode="#,##0.00\x_);\(#,##0.00\x\)"/>
    <numFmt numFmtId="219" formatCode="###0&quot;E&quot;_)"/>
    <numFmt numFmtId="220" formatCode="m/d/yyyy;@"/>
    <numFmt numFmtId="221" formatCode="&quot;$&quot;#,##0.0_);\(&quot;$&quot;#,##0.0\)"/>
    <numFmt numFmtId="222" formatCode="0.0%;\ \(0.0%\)"/>
    <numFmt numFmtId="223" formatCode="0.0\x;\ \(0.0\x\)"/>
    <numFmt numFmtId="224" formatCode="0.000%"/>
    <numFmt numFmtId="225" formatCode="#,##0.0_);\(#,##0.0\);@_)"/>
    <numFmt numFmtId="226" formatCode="&quot;$&quot;#,##0.00000_);\(&quot;$&quot;#,##0.00000\)"/>
    <numFmt numFmtId="227" formatCode="#,##0.0_);\(#,##0.0\);\-_);@_)"/>
    <numFmt numFmtId="228" formatCode="0.0%_);\(0.0%\);@_)"/>
    <numFmt numFmtId="229" formatCode="0.0\x_);\(0.0\x\);@_)"/>
    <numFmt numFmtId="230" formatCode="#,##0.00_);\(#,##0.00\);@_)"/>
    <numFmt numFmtId="231" formatCode="m/d/yy;@"/>
    <numFmt numFmtId="232" formatCode="&quot;$&quot;#,##0.00_);\(&quot;$&quot;#,##0.00\);@_)"/>
  </numFmts>
  <fonts count="68">
    <font>
      <sz val="11"/>
      <color theme="1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rgb="FF000000"/>
      </bottom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</borders>
  <cellStyleXfs count="186">
    <xf numFmtId="0" fontId="0" fillId="0" borderId="0"/>
    <xf numFmtId="0" fontId="1" fillId="0" borderId="0"/>
    <xf numFmtId="164" fontId="1" fillId="0" borderId="0">
      <alignment horizontal="right"/>
    </xf>
    <xf numFmtId="165" fontId="1" fillId="2" borderId="0"/>
    <xf numFmtId="166" fontId="1" fillId="2" borderId="0"/>
    <xf numFmtId="165" fontId="1" fillId="2" borderId="0"/>
    <xf numFmtId="167" fontId="1" fillId="2" borderId="0"/>
    <xf numFmtId="168" fontId="1" fillId="2" borderId="0">
      <alignment horizontal="right"/>
    </xf>
    <xf numFmtId="169" fontId="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7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4" fillId="0" borderId="0"/>
    <xf numFmtId="0" fontId="7" fillId="4" borderId="0" applyNumberFormat="0" applyBorder="0" applyAlignment="0" applyProtection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protection locked="0"/>
    </xf>
    <xf numFmtId="0" fontId="9" fillId="0" borderId="0"/>
    <xf numFmtId="37" fontId="10" fillId="0" borderId="0">
      <alignment horizontal="centerContinuous"/>
    </xf>
    <xf numFmtId="0" fontId="11" fillId="21" borderId="2" applyNumberFormat="0" applyAlignment="0" applyProtection="0"/>
    <xf numFmtId="171" fontId="8" fillId="0" borderId="0" applyFont="0" applyFill="0" applyBorder="0" applyAlignment="0" applyProtection="0">
      <protection locked="0"/>
    </xf>
    <xf numFmtId="171" fontId="8" fillId="0" borderId="3" applyFont="0" applyFill="0" applyAlignment="0" applyProtection="0"/>
    <xf numFmtId="0" fontId="12" fillId="22" borderId="4" applyNumberFormat="0" applyAlignment="0" applyProtection="0"/>
    <xf numFmtId="0" fontId="3" fillId="0" borderId="0">
      <alignment horizontal="center" wrapText="1"/>
      <protection hidden="1"/>
    </xf>
    <xf numFmtId="0" fontId="13" fillId="0" borderId="5" applyNumberFormat="0" applyFill="0" applyBorder="0" applyProtection="0">
      <alignment horizontal="left" vertical="center"/>
    </xf>
    <xf numFmtId="0" fontId="13" fillId="0" borderId="5" applyNumberFormat="0" applyFill="0" applyBorder="0" applyProtection="0">
      <alignment horizontal="right" vertical="center"/>
    </xf>
    <xf numFmtId="43" fontId="3" fillId="0" borderId="0" applyFont="0" applyFill="0" applyBorder="0" applyAlignment="0" applyProtection="0"/>
    <xf numFmtId="37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0" fontId="15" fillId="23" borderId="0">
      <alignment horizontal="center" vertical="center" wrapText="1"/>
    </xf>
    <xf numFmtId="172" fontId="3" fillId="0" borderId="0" applyFill="0" applyBorder="0">
      <alignment horizontal="right"/>
      <protection locked="0"/>
    </xf>
    <xf numFmtId="0" fontId="16" fillId="0" borderId="0" applyFont="0" applyFill="0" applyBorder="0" applyAlignment="0"/>
    <xf numFmtId="7" fontId="17" fillId="0" borderId="0" applyFont="0" applyFill="0" applyBorder="0" applyAlignment="0" applyProtection="0"/>
    <xf numFmtId="5" fontId="14" fillId="0" borderId="0" applyFont="0" applyFill="0" applyBorder="0" applyAlignment="0" applyProtection="0"/>
    <xf numFmtId="173" fontId="4" fillId="0" borderId="0" applyFill="0" applyBorder="0" applyProtection="0">
      <alignment horizontal="right"/>
    </xf>
    <xf numFmtId="174" fontId="1" fillId="2" borderId="6">
      <alignment horizontal="right"/>
    </xf>
    <xf numFmtId="175" fontId="1" fillId="2" borderId="6">
      <alignment horizontal="right"/>
    </xf>
    <xf numFmtId="174" fontId="1" fillId="2" borderId="6">
      <alignment horizontal="right"/>
    </xf>
    <xf numFmtId="15" fontId="18" fillId="0" borderId="0" applyFill="0" applyBorder="0" applyAlignment="0"/>
    <xf numFmtId="176" fontId="16" fillId="24" borderId="0" applyFont="0" applyFill="0" applyBorder="0" applyAlignment="0" applyProtection="0"/>
    <xf numFmtId="177" fontId="18" fillId="0" borderId="5"/>
    <xf numFmtId="14" fontId="19" fillId="0" borderId="0" applyFont="0" applyFill="0" applyBorder="0" applyAlignment="0" applyProtection="0">
      <alignment horizontal="center"/>
    </xf>
    <xf numFmtId="178" fontId="19" fillId="0" borderId="0" applyFont="0" applyFill="0" applyBorder="0" applyAlignment="0" applyProtection="0">
      <alignment horizontal="center"/>
    </xf>
    <xf numFmtId="179" fontId="4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8" fillId="0" borderId="0" applyFont="0" applyFill="0" applyBorder="0" applyAlignment="0" applyProtection="0">
      <alignment horizontal="right"/>
    </xf>
    <xf numFmtId="6" fontId="8" fillId="0" borderId="0" applyFont="0" applyFill="0" applyBorder="0" applyAlignment="0" applyProtection="0"/>
    <xf numFmtId="39" fontId="1" fillId="25" borderId="0"/>
    <xf numFmtId="7" fontId="1" fillId="25" borderId="0" applyBorder="0"/>
    <xf numFmtId="180" fontId="1" fillId="25" borderId="0"/>
    <xf numFmtId="181" fontId="1" fillId="0" borderId="0"/>
    <xf numFmtId="182" fontId="1" fillId="25" borderId="0"/>
    <xf numFmtId="183" fontId="1" fillId="25" borderId="0"/>
    <xf numFmtId="184" fontId="9" fillId="0" borderId="0" applyFont="0" applyFill="0" applyBorder="0" applyProtection="0">
      <alignment horizontal="left"/>
      <protection locked="0"/>
    </xf>
    <xf numFmtId="185" fontId="1" fillId="0" borderId="0"/>
    <xf numFmtId="186" fontId="9" fillId="0" borderId="0" applyFont="0" applyFill="0" applyBorder="0" applyProtection="0">
      <alignment horizontal="left"/>
      <protection locked="0"/>
    </xf>
    <xf numFmtId="18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9" fontId="1" fillId="0" borderId="7"/>
    <xf numFmtId="188" fontId="1" fillId="2" borderId="6">
      <alignment horizontal="right"/>
    </xf>
    <xf numFmtId="189" fontId="1" fillId="2" borderId="6">
      <alignment horizontal="right"/>
    </xf>
    <xf numFmtId="188" fontId="1" fillId="2" borderId="6">
      <alignment horizontal="right"/>
    </xf>
    <xf numFmtId="190" fontId="8" fillId="0" borderId="0" applyFill="0" applyBorder="0" applyAlignment="0" applyProtection="0">
      <protection locked="0"/>
    </xf>
    <xf numFmtId="0" fontId="21" fillId="5" borderId="0" applyNumberFormat="0" applyBorder="0" applyAlignment="0" applyProtection="0"/>
    <xf numFmtId="191" fontId="22" fillId="0" borderId="0" applyFill="0" applyBorder="0" applyAlignment="0" applyProtection="0"/>
    <xf numFmtId="169" fontId="23" fillId="0" borderId="0" applyAlignment="0">
      <alignment horizontal="left"/>
      <protection locked="0"/>
    </xf>
    <xf numFmtId="190" fontId="4" fillId="26" borderId="8" applyNumberFormat="0" applyFont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190" fontId="27" fillId="0" borderId="0" applyNumberFormat="0" applyFill="0" applyBorder="0" applyAlignment="0" applyProtection="0"/>
    <xf numFmtId="0" fontId="28" fillId="0" borderId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alignment horizontal="right"/>
      <protection locked="0"/>
    </xf>
    <xf numFmtId="0" fontId="29" fillId="8" borderId="2" applyNumberFormat="0" applyAlignment="0" applyProtection="0"/>
    <xf numFmtId="0" fontId="16" fillId="24" borderId="0" applyFont="0" applyBorder="0" applyAlignment="0">
      <protection locked="0"/>
    </xf>
    <xf numFmtId="0" fontId="3" fillId="0" borderId="0" applyFill="0" applyBorder="0">
      <alignment horizontal="right"/>
      <protection locked="0"/>
    </xf>
    <xf numFmtId="17" fontId="30" fillId="27" borderId="0"/>
    <xf numFmtId="192" fontId="3" fillId="0" borderId="0" applyFill="0" applyBorder="0">
      <alignment horizontal="right"/>
      <protection locked="0"/>
    </xf>
    <xf numFmtId="0" fontId="31" fillId="28" borderId="12">
      <alignment horizontal="left" vertical="center" wrapText="1"/>
    </xf>
    <xf numFmtId="0" fontId="32" fillId="0" borderId="13" applyNumberFormat="0" applyFill="0" applyAlignment="0" applyProtection="0"/>
    <xf numFmtId="193" fontId="8" fillId="0" borderId="0" applyFont="0" applyFill="0" applyBorder="0" applyAlignment="0" applyProtection="0">
      <alignment horizontal="right"/>
    </xf>
    <xf numFmtId="194" fontId="1" fillId="0" borderId="0">
      <alignment horizontal="right"/>
    </xf>
    <xf numFmtId="195" fontId="1" fillId="25" borderId="0">
      <alignment horizontal="right"/>
    </xf>
    <xf numFmtId="196" fontId="1" fillId="0" borderId="0">
      <alignment horizontal="right"/>
    </xf>
    <xf numFmtId="194" fontId="1" fillId="0" borderId="0">
      <alignment horizontal="right"/>
    </xf>
    <xf numFmtId="169" fontId="33" fillId="0" borderId="0" applyFill="0" applyBorder="0" applyAlignment="0" applyProtection="0">
      <alignment horizontal="right"/>
    </xf>
    <xf numFmtId="169" fontId="33" fillId="0" borderId="0" applyFill="0" applyBorder="0" applyAlignment="0" applyProtection="0"/>
    <xf numFmtId="197" fontId="1" fillId="2" borderId="6">
      <alignment horizontal="right"/>
    </xf>
    <xf numFmtId="198" fontId="8" fillId="0" borderId="0" applyFont="0" applyFill="0" applyBorder="0" applyAlignment="0" applyProtection="0"/>
    <xf numFmtId="0" fontId="14" fillId="2" borderId="0" applyFont="0" applyBorder="0" applyAlignment="0" applyProtection="0">
      <alignment horizontal="right"/>
      <protection hidden="1"/>
    </xf>
    <xf numFmtId="0" fontId="34" fillId="26" borderId="0" applyNumberFormat="0" applyBorder="0" applyAlignment="0" applyProtection="0"/>
    <xf numFmtId="37" fontId="17" fillId="0" borderId="0" applyFont="0" applyFill="0" applyBorder="0" applyAlignment="0" applyProtection="0"/>
    <xf numFmtId="19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0" fontId="5" fillId="29" borderId="14" applyNumberFormat="0" applyFont="0" applyAlignment="0" applyProtection="0"/>
    <xf numFmtId="0" fontId="14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5" fillId="21" borderId="15" applyNumberFormat="0" applyAlignment="0" applyProtection="0"/>
    <xf numFmtId="203" fontId="8" fillId="0" borderId="0" applyFont="0" applyFill="0" applyBorder="0" applyAlignment="0" applyProtection="0">
      <alignment horizontal="right"/>
    </xf>
    <xf numFmtId="0" fontId="36" fillId="0" borderId="0" applyNumberFormat="0" applyFill="0" applyBorder="0" applyAlignment="0" applyProtection="0"/>
    <xf numFmtId="0" fontId="16" fillId="0" borderId="0"/>
    <xf numFmtId="204" fontId="1" fillId="25" borderId="0"/>
    <xf numFmtId="9" fontId="8" fillId="0" borderId="0" applyFont="0" applyFill="0" applyBorder="0" applyAlignment="0" applyProtection="0">
      <alignment horizontal="right"/>
    </xf>
    <xf numFmtId="205" fontId="1" fillId="0" borderId="0"/>
    <xf numFmtId="0" fontId="3" fillId="0" borderId="0" applyFont="0" applyFill="0" applyBorder="0" applyAlignment="0"/>
    <xf numFmtId="165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7" fontId="3" fillId="0" borderId="0" applyFill="0" applyBorder="0">
      <alignment horizontal="right"/>
      <protection locked="0"/>
    </xf>
    <xf numFmtId="191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171" fontId="8" fillId="0" borderId="0" applyFont="0" applyFill="0" applyBorder="0" applyAlignment="0" applyProtection="0">
      <protection locked="0"/>
    </xf>
    <xf numFmtId="190" fontId="8" fillId="0" borderId="0" applyFill="0" applyBorder="0" applyAlignment="0" applyProtection="0"/>
    <xf numFmtId="38" fontId="8" fillId="0" borderId="0" applyFont="0" applyFill="0" applyBorder="0" applyAlignment="0" applyProtection="0"/>
    <xf numFmtId="167" fontId="1" fillId="2" borderId="16">
      <alignment horizontal="right"/>
    </xf>
    <xf numFmtId="208" fontId="37" fillId="2" borderId="0"/>
    <xf numFmtId="209" fontId="1" fillId="2" borderId="0"/>
    <xf numFmtId="0" fontId="38" fillId="0" borderId="0">
      <alignment horizontal="center"/>
    </xf>
    <xf numFmtId="0" fontId="1" fillId="0" borderId="5">
      <alignment horizontal="centerContinuous"/>
    </xf>
    <xf numFmtId="210" fontId="1" fillId="2" borderId="0">
      <alignment horizontal="right"/>
    </xf>
    <xf numFmtId="211" fontId="1" fillId="2" borderId="6">
      <alignment horizontal="right"/>
    </xf>
    <xf numFmtId="212" fontId="3" fillId="0" borderId="0">
      <alignment horizontal="right"/>
      <protection locked="0"/>
    </xf>
    <xf numFmtId="190" fontId="19" fillId="0" borderId="0" applyFont="0" applyFill="0" applyBorder="0" applyAlignment="0" applyProtection="0"/>
    <xf numFmtId="0" fontId="39" fillId="0" borderId="0" applyNumberFormat="0" applyFill="0" applyBorder="0" applyProtection="0">
      <alignment horizontal="right" vertical="center"/>
    </xf>
    <xf numFmtId="0" fontId="40" fillId="23" borderId="8">
      <alignment horizontal="center" vertical="center" wrapText="1"/>
      <protection hidden="1"/>
    </xf>
    <xf numFmtId="171" fontId="8" fillId="0" borderId="0" applyFill="0" applyBorder="0" applyAlignment="0" applyProtection="0">
      <protection locked="0"/>
    </xf>
    <xf numFmtId="213" fontId="19" fillId="0" borderId="0" applyFont="0" applyFill="0" applyBorder="0" applyAlignment="0" applyProtection="0">
      <alignment horizontal="right"/>
    </xf>
    <xf numFmtId="38" fontId="3" fillId="0" borderId="0" applyFont="0" applyFill="0" applyBorder="0" applyAlignment="0" applyProtection="0"/>
    <xf numFmtId="0" fontId="41" fillId="0" borderId="17" applyNumberFormat="0" applyFill="0" applyProtection="0">
      <alignment horizontal="left" vertical="top" wrapText="1"/>
    </xf>
    <xf numFmtId="0" fontId="28" fillId="0" borderId="0" applyNumberFormat="0" applyFill="0" applyBorder="0" applyProtection="0">
      <alignment horizontal="left" vertical="top" wrapText="1"/>
    </xf>
    <xf numFmtId="0" fontId="42" fillId="0" borderId="0" applyNumberFormat="0" applyFill="0" applyProtection="0">
      <alignment horizontal="left" vertical="top" wrapText="1"/>
    </xf>
    <xf numFmtId="0" fontId="43" fillId="0" borderId="0" applyNumberFormat="0" applyFill="0" applyBorder="0" applyProtection="0"/>
    <xf numFmtId="0" fontId="44" fillId="30" borderId="0" applyNumberFormat="0" applyBorder="0" applyProtection="0"/>
    <xf numFmtId="0" fontId="45" fillId="0" borderId="0" applyNumberFormat="0" applyFill="0" applyBorder="0" applyProtection="0">
      <alignment vertical="top"/>
    </xf>
    <xf numFmtId="214" fontId="46" fillId="0" borderId="0" applyFill="0" applyBorder="0" applyProtection="0">
      <alignment horizontal="right" wrapText="1"/>
    </xf>
    <xf numFmtId="215" fontId="46" fillId="0" borderId="0" applyFill="0" applyBorder="0" applyProtection="0">
      <alignment horizontal="right"/>
    </xf>
    <xf numFmtId="4" fontId="16" fillId="0" borderId="0" applyFill="0" applyBorder="0" applyProtection="0">
      <alignment horizontal="right"/>
    </xf>
    <xf numFmtId="183" fontId="47" fillId="0" borderId="0" applyFill="0" applyBorder="0" applyAlignment="0" applyProtection="0"/>
    <xf numFmtId="216" fontId="48" fillId="0" borderId="0" applyFill="0" applyBorder="0" applyAlignment="0" applyProtection="0">
      <alignment horizontal="left"/>
      <protection locked="0"/>
    </xf>
    <xf numFmtId="216" fontId="48" fillId="0" borderId="0" applyFill="0" applyBorder="0" applyAlignment="0" applyProtection="0"/>
    <xf numFmtId="216" fontId="49" fillId="0" borderId="0" applyFill="0" applyBorder="0" applyAlignment="0" applyProtection="0">
      <alignment horizontal="left"/>
      <protection locked="0"/>
    </xf>
    <xf numFmtId="216" fontId="49" fillId="0" borderId="0" applyFill="0" applyBorder="0" applyAlignment="0" applyProtection="0">
      <protection locked="0"/>
    </xf>
    <xf numFmtId="190" fontId="8" fillId="0" borderId="0" applyFill="0" applyBorder="0" applyAlignment="0" applyProtection="0">
      <protection locked="0"/>
    </xf>
    <xf numFmtId="190" fontId="47" fillId="0" borderId="0" applyFill="0" applyBorder="0" applyAlignment="0" applyProtection="0"/>
    <xf numFmtId="49" fontId="50" fillId="0" borderId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1" borderId="0" applyNumberFormat="0" applyBorder="0" applyProtection="0">
      <alignment horizontal="left" vertical="center"/>
    </xf>
    <xf numFmtId="190" fontId="53" fillId="0" borderId="0" applyNumberFormat="0" applyFill="0" applyBorder="0" applyAlignment="0" applyProtection="0"/>
    <xf numFmtId="0" fontId="3" fillId="0" borderId="0" applyBorder="0"/>
    <xf numFmtId="38" fontId="54" fillId="0" borderId="0" applyFill="0" applyBorder="0" applyAlignment="0" applyProtection="0">
      <alignment horizontal="left"/>
    </xf>
    <xf numFmtId="0" fontId="55" fillId="0" borderId="0"/>
    <xf numFmtId="0" fontId="56" fillId="0" borderId="18" applyNumberFormat="0" applyFill="0" applyAlignment="0" applyProtection="0"/>
    <xf numFmtId="0" fontId="57" fillId="0" borderId="0" applyNumberFormat="0" applyFill="0" applyBorder="0" applyAlignment="0" applyProtection="0"/>
    <xf numFmtId="1" fontId="8" fillId="0" borderId="0" applyFont="0" applyFill="0" applyBorder="0" applyAlignment="0" applyProtection="0"/>
    <xf numFmtId="219" fontId="17" fillId="0" borderId="0" applyFont="0" applyFill="0" applyBorder="0" applyAlignment="0" applyProtection="0"/>
  </cellStyleXfs>
  <cellXfs count="136">
    <xf numFmtId="0" fontId="0" fillId="0" borderId="0" xfId="0"/>
    <xf numFmtId="0" fontId="59" fillId="0" borderId="0" xfId="0" applyFont="1"/>
    <xf numFmtId="0" fontId="60" fillId="0" borderId="0" xfId="0" applyFont="1"/>
    <xf numFmtId="0" fontId="58" fillId="0" borderId="0" xfId="0" applyFont="1"/>
    <xf numFmtId="220" fontId="0" fillId="0" borderId="0" xfId="0" applyNumberFormat="1"/>
    <xf numFmtId="0" fontId="0" fillId="0" borderId="19" xfId="0" applyBorder="1" applyAlignment="1">
      <alignment horizontal="right" wrapText="1"/>
    </xf>
    <xf numFmtId="0" fontId="61" fillId="31" borderId="0" xfId="0" applyFont="1" applyFill="1"/>
    <xf numFmtId="0" fontId="63" fillId="0" borderId="19" xfId="0" applyFont="1" applyBorder="1" applyAlignment="1">
      <alignment horizontal="right"/>
    </xf>
    <xf numFmtId="0" fontId="63" fillId="0" borderId="19" xfId="0" applyFont="1" applyBorder="1" applyAlignment="1">
      <alignment horizontal="right" wrapText="1"/>
    </xf>
    <xf numFmtId="225" fontId="0" fillId="0" borderId="0" xfId="0" applyNumberFormat="1"/>
    <xf numFmtId="221" fontId="0" fillId="0" borderId="0" xfId="0" applyNumberFormat="1"/>
    <xf numFmtId="199" fontId="0" fillId="0" borderId="0" xfId="0" applyNumberFormat="1"/>
    <xf numFmtId="0" fontId="65" fillId="0" borderId="0" xfId="0" applyFont="1"/>
    <xf numFmtId="0" fontId="66" fillId="0" borderId="0" xfId="0" applyFont="1"/>
    <xf numFmtId="223" fontId="0" fillId="0" borderId="0" xfId="0" applyNumberFormat="1" applyAlignment="1">
      <alignment horizontal="right"/>
    </xf>
    <xf numFmtId="229" fontId="0" fillId="0" borderId="0" xfId="0" applyNumberFormat="1" applyAlignment="1">
      <alignment horizontal="right"/>
    </xf>
    <xf numFmtId="0" fontId="64" fillId="0" borderId="19" xfId="0" applyFont="1" applyBorder="1" applyAlignment="1">
      <alignment horizontal="right" wrapText="1"/>
    </xf>
    <xf numFmtId="227" fontId="0" fillId="0" borderId="0" xfId="0" applyNumberFormat="1" applyAlignment="1">
      <alignment horizontal="left"/>
    </xf>
    <xf numFmtId="230" fontId="0" fillId="0" borderId="0" xfId="0" applyNumberFormat="1"/>
    <xf numFmtId="229" fontId="62" fillId="31" borderId="0" xfId="0" applyNumberFormat="1" applyFont="1" applyFill="1" applyAlignment="1">
      <alignment horizontal="right"/>
    </xf>
    <xf numFmtId="0" fontId="62" fillId="31" borderId="0" xfId="0" applyFont="1" applyFill="1"/>
    <xf numFmtId="229" fontId="61" fillId="31" borderId="0" xfId="0" applyNumberFormat="1" applyFont="1" applyFill="1" applyAlignment="1">
      <alignment horizontal="right"/>
    </xf>
    <xf numFmtId="0" fontId="60" fillId="0" borderId="1" xfId="0" applyFont="1" applyBorder="1" applyAlignment="1">
      <alignment horizontal="centerContinuous"/>
    </xf>
    <xf numFmtId="229" fontId="0" fillId="0" borderId="1" xfId="0" applyNumberFormat="1" applyBorder="1" applyAlignment="1">
      <alignment horizontal="centerContinuous"/>
    </xf>
    <xf numFmtId="0" fontId="64" fillId="0" borderId="19" xfId="0" applyFont="1" applyBorder="1" applyAlignment="1">
      <alignment horizontal="left" wrapText="1"/>
    </xf>
    <xf numFmtId="0" fontId="0" fillId="0" borderId="20" xfId="0" applyBorder="1"/>
    <xf numFmtId="0" fontId="58" fillId="0" borderId="20" xfId="0" applyFont="1" applyBorder="1"/>
    <xf numFmtId="0" fontId="0" fillId="31" borderId="0" xfId="0" applyFill="1"/>
    <xf numFmtId="0" fontId="60" fillId="31" borderId="0" xfId="0" applyFont="1" applyFill="1"/>
    <xf numFmtId="0" fontId="67" fillId="31" borderId="0" xfId="0" applyFont="1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64" fillId="0" borderId="27" xfId="0" applyFont="1" applyBorder="1" applyAlignment="1">
      <alignment horizontal="right" wrapText="1"/>
    </xf>
    <xf numFmtId="228" fontId="0" fillId="0" borderId="26" xfId="0" applyNumberFormat="1" applyBorder="1"/>
    <xf numFmtId="229" fontId="0" fillId="0" borderId="26" xfId="0" applyNumberFormat="1" applyBorder="1" applyAlignment="1">
      <alignment horizontal="right"/>
    </xf>
    <xf numFmtId="229" fontId="62" fillId="31" borderId="26" xfId="0" applyNumberFormat="1" applyFont="1" applyFill="1" applyBorder="1" applyAlignment="1">
      <alignment horizontal="right"/>
    </xf>
    <xf numFmtId="229" fontId="61" fillId="31" borderId="26" xfId="0" applyNumberFormat="1" applyFont="1" applyFill="1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3" fillId="0" borderId="20" xfId="0" applyFont="1" applyBorder="1"/>
    <xf numFmtId="225" fontId="0" fillId="0" borderId="20" xfId="0" applyNumberFormat="1" applyBorder="1"/>
    <xf numFmtId="0" fontId="0" fillId="32" borderId="20" xfId="0" applyFill="1" applyBorder="1"/>
    <xf numFmtId="0" fontId="0" fillId="33" borderId="31" xfId="0" applyFill="1" applyBorder="1" applyAlignment="1">
      <alignment horizontal="right"/>
    </xf>
    <xf numFmtId="0" fontId="0" fillId="33" borderId="31" xfId="0" applyFill="1" applyBorder="1"/>
    <xf numFmtId="231" fontId="0" fillId="33" borderId="31" xfId="0" applyNumberFormat="1" applyFill="1" applyBorder="1"/>
    <xf numFmtId="7" fontId="60" fillId="33" borderId="31" xfId="0" applyNumberFormat="1" applyFont="1" applyFill="1" applyBorder="1"/>
    <xf numFmtId="199" fontId="60" fillId="0" borderId="0" xfId="0" applyNumberFormat="1" applyFont="1"/>
    <xf numFmtId="231" fontId="0" fillId="33" borderId="32" xfId="0" applyNumberFormat="1" applyFill="1" applyBorder="1"/>
    <xf numFmtId="227" fontId="60" fillId="33" borderId="31" xfId="0" applyNumberFormat="1" applyFont="1" applyFill="1" applyBorder="1" applyAlignment="1">
      <alignment horizontal="right"/>
    </xf>
    <xf numFmtId="231" fontId="0" fillId="33" borderId="33" xfId="0" applyNumberFormat="1" applyFill="1" applyBorder="1"/>
    <xf numFmtId="14" fontId="0" fillId="33" borderId="31" xfId="0" applyNumberFormat="1" applyFill="1" applyBorder="1"/>
    <xf numFmtId="37" fontId="60" fillId="0" borderId="0" xfId="0" applyNumberFormat="1" applyFont="1"/>
    <xf numFmtId="0" fontId="0" fillId="34" borderId="0" xfId="0" applyFill="1"/>
    <xf numFmtId="0" fontId="58" fillId="34" borderId="0" xfId="0" applyFont="1" applyFill="1"/>
    <xf numFmtId="226" fontId="0" fillId="34" borderId="0" xfId="0" applyNumberFormat="1" applyFill="1"/>
    <xf numFmtId="213" fontId="0" fillId="34" borderId="0" xfId="0" applyNumberFormat="1" applyFill="1"/>
    <xf numFmtId="0" fontId="0" fillId="0" borderId="0" xfId="0" applyAlignment="1">
      <alignment horizontal="left"/>
    </xf>
    <xf numFmtId="7" fontId="0" fillId="0" borderId="0" xfId="0" applyNumberFormat="1"/>
    <xf numFmtId="7" fontId="65" fillId="0" borderId="0" xfId="0" applyNumberFormat="1" applyFont="1"/>
    <xf numFmtId="224" fontId="0" fillId="0" borderId="0" xfId="0" applyNumberFormat="1"/>
    <xf numFmtId="0" fontId="0" fillId="0" borderId="0" xfId="0" applyAlignment="1">
      <alignment horizontal="left" indent="1"/>
    </xf>
    <xf numFmtId="232" fontId="0" fillId="0" borderId="0" xfId="0" applyNumberFormat="1"/>
    <xf numFmtId="223" fontId="0" fillId="0" borderId="0" xfId="0" applyNumberFormat="1"/>
    <xf numFmtId="231" fontId="0" fillId="33" borderId="34" xfId="0" applyNumberFormat="1" applyFill="1" applyBorder="1"/>
    <xf numFmtId="221" fontId="0" fillId="33" borderId="31" xfId="0" applyNumberFormat="1" applyFill="1" applyBorder="1"/>
    <xf numFmtId="199" fontId="0" fillId="33" borderId="31" xfId="0" applyNumberFormat="1" applyFill="1" applyBorder="1"/>
    <xf numFmtId="225" fontId="0" fillId="33" borderId="31" xfId="0" applyNumberFormat="1" applyFill="1" applyBorder="1"/>
    <xf numFmtId="225" fontId="60" fillId="33" borderId="31" xfId="0" applyNumberFormat="1" applyFont="1" applyFill="1" applyBorder="1"/>
    <xf numFmtId="0" fontId="0" fillId="33" borderId="33" xfId="0" applyFill="1" applyBorder="1"/>
    <xf numFmtId="3" fontId="0" fillId="33" borderId="31" xfId="0" applyNumberFormat="1" applyFill="1" applyBorder="1"/>
    <xf numFmtId="3" fontId="60" fillId="33" borderId="31" xfId="0" applyNumberFormat="1" applyFont="1" applyFill="1" applyBorder="1"/>
    <xf numFmtId="3" fontId="0" fillId="33" borderId="33" xfId="0" applyNumberFormat="1" applyFill="1" applyBorder="1"/>
    <xf numFmtId="4" fontId="60" fillId="33" borderId="31" xfId="0" applyNumberFormat="1" applyFont="1" applyFill="1" applyBorder="1" applyAlignment="1">
      <alignment horizontal="right"/>
    </xf>
    <xf numFmtId="0" fontId="0" fillId="0" borderId="32" xfId="0" applyBorder="1"/>
    <xf numFmtId="0" fontId="60" fillId="34" borderId="31" xfId="0" applyFont="1" applyFill="1" applyBorder="1"/>
    <xf numFmtId="0" fontId="0" fillId="34" borderId="31" xfId="0" applyFill="1" applyBorder="1"/>
    <xf numFmtId="227" fontId="60" fillId="34" borderId="31" xfId="0" applyNumberFormat="1" applyFont="1" applyFill="1" applyBorder="1" applyAlignment="1">
      <alignment horizontal="right"/>
    </xf>
    <xf numFmtId="0" fontId="60" fillId="34" borderId="0" xfId="0" applyFont="1" applyFill="1"/>
    <xf numFmtId="0" fontId="0" fillId="0" borderId="36" xfId="0" applyBorder="1"/>
    <xf numFmtId="0" fontId="0" fillId="0" borderId="31" xfId="0" applyBorder="1"/>
    <xf numFmtId="3" fontId="60" fillId="0" borderId="0" xfId="0" applyNumberFormat="1" applyFont="1"/>
    <xf numFmtId="3" fontId="0" fillId="33" borderId="34" xfId="0" applyNumberFormat="1" applyFill="1" applyBorder="1"/>
    <xf numFmtId="14" fontId="66" fillId="0" borderId="0" xfId="0" applyNumberFormat="1" applyFont="1"/>
    <xf numFmtId="7" fontId="0" fillId="33" borderId="31" xfId="0" applyNumberFormat="1" applyFill="1" applyBorder="1"/>
    <xf numFmtId="4" fontId="0" fillId="33" borderId="31" xfId="0" applyNumberFormat="1" applyFill="1" applyBorder="1"/>
    <xf numFmtId="231" fontId="66" fillId="0" borderId="0" xfId="0" applyNumberFormat="1" applyFont="1"/>
    <xf numFmtId="7" fontId="65" fillId="33" borderId="31" xfId="0" applyNumberFormat="1" applyFont="1" applyFill="1" applyBorder="1"/>
    <xf numFmtId="222" fontId="0" fillId="33" borderId="31" xfId="0" applyNumberFormat="1" applyFill="1" applyBorder="1"/>
    <xf numFmtId="0" fontId="60" fillId="35" borderId="0" xfId="0" applyFont="1" applyFill="1"/>
    <xf numFmtId="0" fontId="0" fillId="35" borderId="0" xfId="0" applyFill="1"/>
    <xf numFmtId="7" fontId="0" fillId="35" borderId="0" xfId="0" applyNumberFormat="1" applyFill="1"/>
    <xf numFmtId="231" fontId="0" fillId="35" borderId="33" xfId="0" applyNumberFormat="1" applyFill="1" applyBorder="1"/>
    <xf numFmtId="0" fontId="60" fillId="35" borderId="31" xfId="0" applyFont="1" applyFill="1" applyBorder="1"/>
    <xf numFmtId="0" fontId="0" fillId="35" borderId="31" xfId="0" applyFill="1" applyBorder="1"/>
    <xf numFmtId="227" fontId="60" fillId="35" borderId="31" xfId="0" applyNumberFormat="1" applyFont="1" applyFill="1" applyBorder="1" applyAlignment="1">
      <alignment horizontal="right"/>
    </xf>
    <xf numFmtId="221" fontId="60" fillId="33" borderId="31" xfId="0" applyNumberFormat="1" applyFont="1" applyFill="1" applyBorder="1"/>
    <xf numFmtId="0" fontId="0" fillId="36" borderId="0" xfId="0" applyFill="1"/>
    <xf numFmtId="199" fontId="0" fillId="36" borderId="31" xfId="0" applyNumberFormat="1" applyFill="1" applyBorder="1"/>
    <xf numFmtId="231" fontId="0" fillId="36" borderId="33" xfId="0" applyNumberFormat="1" applyFill="1" applyBorder="1"/>
    <xf numFmtId="227" fontId="60" fillId="34" borderId="31" xfId="0" applyNumberFormat="1" applyFont="1" applyFill="1" applyBorder="1" applyAlignment="1">
      <alignment horizontal="left"/>
    </xf>
    <xf numFmtId="232" fontId="0" fillId="0" borderId="31" xfId="0" applyNumberFormat="1" applyBorder="1"/>
    <xf numFmtId="225" fontId="0" fillId="0" borderId="31" xfId="0" applyNumberFormat="1" applyBorder="1"/>
    <xf numFmtId="225" fontId="60" fillId="0" borderId="31" xfId="0" applyNumberFormat="1" applyFont="1" applyBorder="1"/>
    <xf numFmtId="221" fontId="60" fillId="0" borderId="31" xfId="0" applyNumberFormat="1" applyFont="1" applyBorder="1"/>
    <xf numFmtId="231" fontId="66" fillId="0" borderId="31" xfId="0" applyNumberFormat="1" applyFont="1" applyBorder="1"/>
    <xf numFmtId="221" fontId="0" fillId="0" borderId="31" xfId="0" applyNumberFormat="1" applyBorder="1"/>
    <xf numFmtId="14" fontId="66" fillId="0" borderId="31" xfId="0" applyNumberFormat="1" applyFont="1" applyBorder="1"/>
    <xf numFmtId="14" fontId="0" fillId="0" borderId="0" xfId="0" applyNumberFormat="1"/>
    <xf numFmtId="14" fontId="60" fillId="33" borderId="31" xfId="0" applyNumberFormat="1" applyFont="1" applyFill="1" applyBorder="1"/>
    <xf numFmtId="3" fontId="0" fillId="0" borderId="0" xfId="0" applyNumberFormat="1"/>
    <xf numFmtId="3" fontId="0" fillId="33" borderId="35" xfId="0" applyNumberFormat="1" applyFill="1" applyBorder="1"/>
    <xf numFmtId="6" fontId="0" fillId="0" borderId="20" xfId="0" applyNumberFormat="1" applyBorder="1"/>
    <xf numFmtId="3" fontId="0" fillId="0" borderId="20" xfId="0" applyNumberFormat="1" applyBorder="1"/>
    <xf numFmtId="8" fontId="0" fillId="0" borderId="20" xfId="0" applyNumberFormat="1" applyBorder="1"/>
    <xf numFmtId="4" fontId="0" fillId="0" borderId="20" xfId="0" applyNumberFormat="1" applyBorder="1"/>
    <xf numFmtId="227" fontId="60" fillId="33" borderId="37" xfId="0" applyNumberFormat="1" applyFont="1" applyFill="1" applyBorder="1" applyAlignment="1">
      <alignment horizontal="right"/>
    </xf>
    <xf numFmtId="3" fontId="60" fillId="33" borderId="35" xfId="0" applyNumberFormat="1" applyFont="1" applyFill="1" applyBorder="1"/>
    <xf numFmtId="4" fontId="60" fillId="33" borderId="35" xfId="0" applyNumberFormat="1" applyFont="1" applyFill="1" applyBorder="1" applyAlignment="1">
      <alignment horizontal="right"/>
    </xf>
    <xf numFmtId="0" fontId="0" fillId="33" borderId="35" xfId="0" applyFill="1" applyBorder="1"/>
    <xf numFmtId="199" fontId="0" fillId="33" borderId="35" xfId="0" applyNumberFormat="1" applyFill="1" applyBorder="1"/>
    <xf numFmtId="225" fontId="0" fillId="33" borderId="35" xfId="0" applyNumberFormat="1" applyFill="1" applyBorder="1"/>
    <xf numFmtId="3" fontId="0" fillId="0" borderId="31" xfId="0" applyNumberFormat="1" applyBorder="1"/>
    <xf numFmtId="4" fontId="0" fillId="0" borderId="31" xfId="0" applyNumberFormat="1" applyBorder="1"/>
    <xf numFmtId="1" fontId="0" fillId="33" borderId="31" xfId="0" applyNumberFormat="1" applyFill="1" applyBorder="1"/>
    <xf numFmtId="6" fontId="0" fillId="0" borderId="31" xfId="0" applyNumberFormat="1" applyBorder="1"/>
    <xf numFmtId="4" fontId="0" fillId="0" borderId="0" xfId="0" applyNumberFormat="1"/>
    <xf numFmtId="37" fontId="0" fillId="0" borderId="0" xfId="0" applyNumberFormat="1"/>
    <xf numFmtId="14" fontId="0" fillId="0" borderId="20" xfId="0" applyNumberFormat="1" applyBorder="1"/>
    <xf numFmtId="10" fontId="0" fillId="0" borderId="20" xfId="0" applyNumberFormat="1" applyBorder="1"/>
    <xf numFmtId="3" fontId="60" fillId="0" borderId="31" xfId="0" applyNumberFormat="1" applyFont="1" applyBorder="1"/>
    <xf numFmtId="0" fontId="0" fillId="0" borderId="0" xfId="0" applyFont="1"/>
  </cellXfs>
  <cellStyles count="186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_valuation" xfId="5" xr:uid="{00000000-0005-0000-0000-000004000000}"/>
    <cellStyle name="$qA" xfId="6" xr:uid="{00000000-0005-0000-0000-000005000000}"/>
    <cellStyle name="$qRange" xfId="7" xr:uid="{00000000-0005-0000-0000-000006000000}"/>
    <cellStyle name="%" xfId="8" xr:uid="{00000000-0005-0000-0000-000007000000}"/>
    <cellStyle name="******************************************" xfId="9" xr:uid="{00000000-0005-0000-0000-000008000000}"/>
    <cellStyle name="2 Decimal Places_MA Software Comps - List_AccretionDilution OTGS v16.xls Chart 1" xfId="10" xr:uid="{00000000-0005-0000-0000-000009000000}"/>
    <cellStyle name="20% - Accent1 2" xfId="11" xr:uid="{00000000-0005-0000-0000-00000A000000}"/>
    <cellStyle name="20% - Accent2 2" xfId="12" xr:uid="{00000000-0005-0000-0000-00000B000000}"/>
    <cellStyle name="20% - Accent3 2" xfId="13" xr:uid="{00000000-0005-0000-0000-00000C000000}"/>
    <cellStyle name="20% - Accent4 2" xfId="14" xr:uid="{00000000-0005-0000-0000-00000D000000}"/>
    <cellStyle name="20% - Accent5 2" xfId="15" xr:uid="{00000000-0005-0000-0000-00000E000000}"/>
    <cellStyle name="20% - Accent6 2" xfId="16" xr:uid="{00000000-0005-0000-0000-00000F000000}"/>
    <cellStyle name="40% - Accent1 2" xfId="17" xr:uid="{00000000-0005-0000-0000-000010000000}"/>
    <cellStyle name="40% - Accent2 2" xfId="18" xr:uid="{00000000-0005-0000-0000-000011000000}"/>
    <cellStyle name="40% - Accent3 2" xfId="19" xr:uid="{00000000-0005-0000-0000-000012000000}"/>
    <cellStyle name="40% - Accent4 2" xfId="20" xr:uid="{00000000-0005-0000-0000-000013000000}"/>
    <cellStyle name="40% - Accent5 2" xfId="21" xr:uid="{00000000-0005-0000-0000-000014000000}"/>
    <cellStyle name="40% - Accent6 2" xfId="22" xr:uid="{00000000-0005-0000-0000-000015000000}"/>
    <cellStyle name="60% - Accent1 2" xfId="23" xr:uid="{00000000-0005-0000-0000-000016000000}"/>
    <cellStyle name="60% - Accent2 2" xfId="24" xr:uid="{00000000-0005-0000-0000-000017000000}"/>
    <cellStyle name="60% - Accent3 2" xfId="25" xr:uid="{00000000-0005-0000-0000-000018000000}"/>
    <cellStyle name="60% - Accent4 2" xfId="26" xr:uid="{00000000-0005-0000-0000-000019000000}"/>
    <cellStyle name="60% - Accent5 2" xfId="27" xr:uid="{00000000-0005-0000-0000-00001A000000}"/>
    <cellStyle name="60% - Accent6 2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AFE" xfId="35" xr:uid="{00000000-0005-0000-0000-000022000000}"/>
    <cellStyle name="Bad 2" xfId="36" xr:uid="{00000000-0005-0000-0000-000023000000}"/>
    <cellStyle name="Balance" xfId="37" xr:uid="{00000000-0005-0000-0000-000024000000}"/>
    <cellStyle name="BalanceSheet" xfId="38" xr:uid="{00000000-0005-0000-0000-000025000000}"/>
    <cellStyle name="Body_$Numeric" xfId="39" xr:uid="{00000000-0005-0000-0000-000026000000}"/>
    <cellStyle name="Bold Header" xfId="40" xr:uid="{00000000-0005-0000-0000-000027000000}"/>
    <cellStyle name="Calculation 2" xfId="41" xr:uid="{00000000-0005-0000-0000-000028000000}"/>
    <cellStyle name="CashFlow" xfId="42" xr:uid="{00000000-0005-0000-0000-000029000000}"/>
    <cellStyle name="Check" xfId="43" xr:uid="{00000000-0005-0000-0000-00002A000000}"/>
    <cellStyle name="Check Cell 2" xfId="44" xr:uid="{00000000-0005-0000-0000-00002B000000}"/>
    <cellStyle name="ColHeading" xfId="45" xr:uid="{00000000-0005-0000-0000-00002C000000}"/>
    <cellStyle name="colheadleft" xfId="46" xr:uid="{00000000-0005-0000-0000-00002D000000}"/>
    <cellStyle name="colheadright" xfId="47" xr:uid="{00000000-0005-0000-0000-00002E000000}"/>
    <cellStyle name="Comma 2" xfId="48" xr:uid="{00000000-0005-0000-0000-00002F000000}"/>
    <cellStyle name="Comma0" xfId="49" xr:uid="{00000000-0005-0000-0000-000030000000}"/>
    <cellStyle name="Comma2" xfId="50" xr:uid="{00000000-0005-0000-0000-000031000000}"/>
    <cellStyle name="Company" xfId="51" xr:uid="{00000000-0005-0000-0000-000032000000}"/>
    <cellStyle name="CurRatio" xfId="52" xr:uid="{00000000-0005-0000-0000-000033000000}"/>
    <cellStyle name="Currency [1]" xfId="53" xr:uid="{00000000-0005-0000-0000-000034000000}"/>
    <cellStyle name="Currency [2]" xfId="54" xr:uid="{00000000-0005-0000-0000-000035000000}"/>
    <cellStyle name="Currency0" xfId="55" xr:uid="{00000000-0005-0000-0000-000036000000}"/>
    <cellStyle name="Currency2" xfId="56" xr:uid="{00000000-0005-0000-0000-000037000000}"/>
    <cellStyle name="d_yield" xfId="57" xr:uid="{00000000-0005-0000-0000-000038000000}"/>
    <cellStyle name="d_yield_CW's MAKER MODEL" xfId="58" xr:uid="{00000000-0005-0000-0000-000039000000}"/>
    <cellStyle name="d_yield_valuation" xfId="59" xr:uid="{00000000-0005-0000-0000-00003A000000}"/>
    <cellStyle name="Date [d-mmm-yy]" xfId="60" xr:uid="{00000000-0005-0000-0000-00003B000000}"/>
    <cellStyle name="Date [mmm-d-yyyy]" xfId="61" xr:uid="{00000000-0005-0000-0000-00003C000000}"/>
    <cellStyle name="Date [mmm-yyyy]" xfId="62" xr:uid="{00000000-0005-0000-0000-00003D000000}"/>
    <cellStyle name="Dates" xfId="63" xr:uid="{00000000-0005-0000-0000-00003E000000}"/>
    <cellStyle name="DateYear" xfId="64" xr:uid="{00000000-0005-0000-0000-00003F000000}"/>
    <cellStyle name="Dezimal_Capital expenditure planning FY 2000" xfId="65" xr:uid="{00000000-0005-0000-0000-000040000000}"/>
    <cellStyle name="Dollar" xfId="66" xr:uid="{00000000-0005-0000-0000-000041000000}"/>
    <cellStyle name="Dollars" xfId="67" xr:uid="{00000000-0005-0000-0000-000042000000}"/>
    <cellStyle name="DollarWhole" xfId="68" xr:uid="{00000000-0005-0000-0000-000043000000}"/>
    <cellStyle name="eps" xfId="69" xr:uid="{00000000-0005-0000-0000-000044000000}"/>
    <cellStyle name="eps$" xfId="70" xr:uid="{00000000-0005-0000-0000-000045000000}"/>
    <cellStyle name="eps$A" xfId="71" xr:uid="{00000000-0005-0000-0000-000046000000}"/>
    <cellStyle name="eps$E" xfId="72" xr:uid="{00000000-0005-0000-0000-000047000000}"/>
    <cellStyle name="eps_CW's MAKER MODEL" xfId="73" xr:uid="{00000000-0005-0000-0000-000048000000}"/>
    <cellStyle name="epsA" xfId="74" xr:uid="{00000000-0005-0000-0000-000049000000}"/>
    <cellStyle name="EPSActual" xfId="75" xr:uid="{00000000-0005-0000-0000-00004A000000}"/>
    <cellStyle name="epsE" xfId="76" xr:uid="{00000000-0005-0000-0000-00004B000000}"/>
    <cellStyle name="EPSEstimate" xfId="77" xr:uid="{00000000-0005-0000-0000-00004C000000}"/>
    <cellStyle name="Euro" xfId="78" xr:uid="{00000000-0005-0000-0000-00004D000000}"/>
    <cellStyle name="Explanatory Text 2" xfId="79" xr:uid="{00000000-0005-0000-0000-00004E000000}"/>
    <cellStyle name="fy_eps$" xfId="80" xr:uid="{00000000-0005-0000-0000-00004F000000}"/>
    <cellStyle name="g_rate" xfId="81" xr:uid="{00000000-0005-0000-0000-000050000000}"/>
    <cellStyle name="g_rate_CW's MAKER MODEL" xfId="82" xr:uid="{00000000-0005-0000-0000-000051000000}"/>
    <cellStyle name="g_rate_valuation" xfId="83" xr:uid="{00000000-0005-0000-0000-000052000000}"/>
    <cellStyle name="General" xfId="84" xr:uid="{00000000-0005-0000-0000-000053000000}"/>
    <cellStyle name="Good 2" xfId="85" xr:uid="{00000000-0005-0000-0000-000054000000}"/>
    <cellStyle name="GrowthRate" xfId="86" xr:uid="{00000000-0005-0000-0000-000055000000}"/>
    <cellStyle name="GrowthSeq" xfId="87" xr:uid="{00000000-0005-0000-0000-000056000000}"/>
    <cellStyle name="Hard Number Input" xfId="88" xr:uid="{00000000-0005-0000-0000-000057000000}"/>
    <cellStyle name="Heading 1 2" xfId="89" xr:uid="{00000000-0005-0000-0000-000058000000}"/>
    <cellStyle name="Heading 2 2" xfId="90" xr:uid="{00000000-0005-0000-0000-000059000000}"/>
    <cellStyle name="Heading 3 2" xfId="91" xr:uid="{00000000-0005-0000-0000-00005A000000}"/>
    <cellStyle name="Heading 4 2" xfId="92" xr:uid="{00000000-0005-0000-0000-00005B000000}"/>
    <cellStyle name="Historical Number" xfId="93" xr:uid="{00000000-0005-0000-0000-00005C000000}"/>
    <cellStyle name="iemens" xfId="94" xr:uid="{00000000-0005-0000-0000-00005D000000}"/>
    <cellStyle name="Income" xfId="95" xr:uid="{00000000-0005-0000-0000-00005E000000}"/>
    <cellStyle name="IncomeStatement" xfId="96" xr:uid="{00000000-0005-0000-0000-00005F000000}"/>
    <cellStyle name="Input 2" xfId="97" xr:uid="{00000000-0005-0000-0000-000060000000}"/>
    <cellStyle name="Input Fixed [0]" xfId="98" xr:uid="{00000000-0005-0000-0000-000061000000}"/>
    <cellStyle name="Integer" xfId="99" xr:uid="{00000000-0005-0000-0000-000062000000}"/>
    <cellStyle name="Inverse Header" xfId="100" xr:uid="{00000000-0005-0000-0000-000063000000}"/>
    <cellStyle name="Item" xfId="101" xr:uid="{00000000-0005-0000-0000-000064000000}"/>
    <cellStyle name="ItemTypeClass" xfId="102" xr:uid="{00000000-0005-0000-0000-000065000000}"/>
    <cellStyle name="Linked Cell 2" xfId="103" xr:uid="{00000000-0005-0000-0000-000066000000}"/>
    <cellStyle name="LTGR" xfId="104" xr:uid="{00000000-0005-0000-0000-000067000000}"/>
    <cellStyle name="m" xfId="105" xr:uid="{00000000-0005-0000-0000-000068000000}"/>
    <cellStyle name="m$" xfId="106" xr:uid="{00000000-0005-0000-0000-000069000000}"/>
    <cellStyle name="m_CW's MAKER MODEL" xfId="107" xr:uid="{00000000-0005-0000-0000-00006A000000}"/>
    <cellStyle name="m_valuation" xfId="108" xr:uid="{00000000-0005-0000-0000-00006B000000}"/>
    <cellStyle name="Margin" xfId="109" xr:uid="{00000000-0005-0000-0000-00006C000000}"/>
    <cellStyle name="Margins" xfId="110" xr:uid="{00000000-0005-0000-0000-00006D000000}"/>
    <cellStyle name="mm" xfId="111" xr:uid="{00000000-0005-0000-0000-00006E000000}"/>
    <cellStyle name="Multiple" xfId="112" xr:uid="{00000000-0005-0000-0000-00006F000000}"/>
    <cellStyle name="NA is zero" xfId="113" xr:uid="{00000000-0005-0000-0000-000070000000}"/>
    <cellStyle name="Neutral 2" xfId="114" xr:uid="{00000000-0005-0000-0000-000071000000}"/>
    <cellStyle name="Normal" xfId="0" builtinId="0"/>
    <cellStyle name="Normal [0]" xfId="115" xr:uid="{00000000-0005-0000-0000-000073000000}"/>
    <cellStyle name="Normal [1]" xfId="116" xr:uid="{00000000-0005-0000-0000-000074000000}"/>
    <cellStyle name="Normal [2]" xfId="117" xr:uid="{00000000-0005-0000-0000-000075000000}"/>
    <cellStyle name="Normal [3]" xfId="118" xr:uid="{00000000-0005-0000-0000-000076000000}"/>
    <cellStyle name="Normal 2" xfId="119" xr:uid="{00000000-0005-0000-0000-000077000000}"/>
    <cellStyle name="Normal Bold" xfId="120" xr:uid="{00000000-0005-0000-0000-000078000000}"/>
    <cellStyle name="Normal Pct" xfId="121" xr:uid="{00000000-0005-0000-0000-000079000000}"/>
    <cellStyle name="NormalX" xfId="122" xr:uid="{00000000-0005-0000-0000-00007A000000}"/>
    <cellStyle name="Note 2" xfId="123" xr:uid="{00000000-0005-0000-0000-00007B000000}"/>
    <cellStyle name="NPPESalesPct" xfId="124" xr:uid="{00000000-0005-0000-0000-00007C000000}"/>
    <cellStyle name="Number" xfId="125" xr:uid="{00000000-0005-0000-0000-00007D000000}"/>
    <cellStyle name="NWI%S" xfId="126" xr:uid="{00000000-0005-0000-0000-00007E000000}"/>
    <cellStyle name="Output 2" xfId="127" xr:uid="{00000000-0005-0000-0000-00007F000000}"/>
    <cellStyle name="P/E" xfId="128" xr:uid="{00000000-0005-0000-0000-000080000000}"/>
    <cellStyle name="Palatino" xfId="129" xr:uid="{00000000-0005-0000-0000-000081000000}"/>
    <cellStyle name="pc1" xfId="130" xr:uid="{00000000-0005-0000-0000-000082000000}"/>
    <cellStyle name="pe" xfId="131" xr:uid="{00000000-0005-0000-0000-000083000000}"/>
    <cellStyle name="PE/LTGR" xfId="132" xr:uid="{00000000-0005-0000-0000-000084000000}"/>
    <cellStyle name="PEG" xfId="133" xr:uid="{00000000-0005-0000-0000-000085000000}"/>
    <cellStyle name="Percent [0]" xfId="134" xr:uid="{00000000-0005-0000-0000-000086000000}"/>
    <cellStyle name="Percent [1]" xfId="135" xr:uid="{00000000-0005-0000-0000-000087000000}"/>
    <cellStyle name="Percent [2]" xfId="136" xr:uid="{00000000-0005-0000-0000-000088000000}"/>
    <cellStyle name="PercentChange" xfId="137" xr:uid="{00000000-0005-0000-0000-000089000000}"/>
    <cellStyle name="PercentPresentation" xfId="138" xr:uid="{00000000-0005-0000-0000-00008A000000}"/>
    <cellStyle name="PerShare" xfId="139" xr:uid="{00000000-0005-0000-0000-00008B000000}"/>
    <cellStyle name="POPS" xfId="140" xr:uid="{00000000-0005-0000-0000-00008C000000}"/>
    <cellStyle name="Presentation" xfId="141" xr:uid="{00000000-0005-0000-0000-00008D000000}"/>
    <cellStyle name="PresentationZero" xfId="142" xr:uid="{00000000-0005-0000-0000-00008E000000}"/>
    <cellStyle name="price" xfId="143" xr:uid="{00000000-0005-0000-0000-00008F000000}"/>
    <cellStyle name="q" xfId="144" xr:uid="{00000000-0005-0000-0000-000090000000}"/>
    <cellStyle name="q_CW's MAKER MODEL" xfId="145" xr:uid="{00000000-0005-0000-0000-000091000000}"/>
    <cellStyle name="QEPS-h" xfId="146" xr:uid="{00000000-0005-0000-0000-000092000000}"/>
    <cellStyle name="QEPS-H1" xfId="147" xr:uid="{00000000-0005-0000-0000-000093000000}"/>
    <cellStyle name="qRange" xfId="148" xr:uid="{00000000-0005-0000-0000-000094000000}"/>
    <cellStyle name="range" xfId="149" xr:uid="{00000000-0005-0000-0000-000095000000}"/>
    <cellStyle name="RatioX" xfId="150" xr:uid="{00000000-0005-0000-0000-000096000000}"/>
    <cellStyle name="Report" xfId="151" xr:uid="{00000000-0005-0000-0000-000097000000}"/>
    <cellStyle name="Right" xfId="152" xr:uid="{00000000-0005-0000-0000-000098000000}"/>
    <cellStyle name="SectionHeading" xfId="153" xr:uid="{00000000-0005-0000-0000-000099000000}"/>
    <cellStyle name="Shares" xfId="154" xr:uid="{00000000-0005-0000-0000-00009A000000}"/>
    <cellStyle name="StockPrice" xfId="155" xr:uid="{00000000-0005-0000-0000-00009B000000}"/>
    <cellStyle name="Style 1" xfId="156" xr:uid="{00000000-0005-0000-0000-00009C000000}"/>
    <cellStyle name="Style 21" xfId="157" xr:uid="{00000000-0005-0000-0000-00009D000000}"/>
    <cellStyle name="Style 22" xfId="158" xr:uid="{00000000-0005-0000-0000-00009E000000}"/>
    <cellStyle name="Style 23" xfId="159" xr:uid="{00000000-0005-0000-0000-00009F000000}"/>
    <cellStyle name="Style 24" xfId="160" xr:uid="{00000000-0005-0000-0000-0000A0000000}"/>
    <cellStyle name="Style 26" xfId="161" xr:uid="{00000000-0005-0000-0000-0000A1000000}"/>
    <cellStyle name="Style 27" xfId="162" xr:uid="{00000000-0005-0000-0000-0000A2000000}"/>
    <cellStyle name="Style 34" xfId="163" xr:uid="{00000000-0005-0000-0000-0000A3000000}"/>
    <cellStyle name="Style 37" xfId="164" xr:uid="{00000000-0005-0000-0000-0000A4000000}"/>
    <cellStyle name="Style 63" xfId="165" xr:uid="{00000000-0005-0000-0000-0000A5000000}"/>
    <cellStyle name="SubDollar" xfId="166" xr:uid="{00000000-0005-0000-0000-0000A6000000}"/>
    <cellStyle name="SubGrowth" xfId="167" xr:uid="{00000000-0005-0000-0000-0000A7000000}"/>
    <cellStyle name="SubGrowthRate" xfId="168" xr:uid="{00000000-0005-0000-0000-0000A8000000}"/>
    <cellStyle name="SubMargins" xfId="169" xr:uid="{00000000-0005-0000-0000-0000A9000000}"/>
    <cellStyle name="SubPenetration" xfId="170" xr:uid="{00000000-0005-0000-0000-0000AA000000}"/>
    <cellStyle name="Subscribers" xfId="171" xr:uid="{00000000-0005-0000-0000-0000AB000000}"/>
    <cellStyle name="SubVariable" xfId="172" xr:uid="{00000000-0005-0000-0000-0000AC000000}"/>
    <cellStyle name="tcn" xfId="173" xr:uid="{00000000-0005-0000-0000-0000AD000000}"/>
    <cellStyle name="Times [1]" xfId="174" xr:uid="{00000000-0005-0000-0000-0000AE000000}"/>
    <cellStyle name="Times [2]" xfId="175" xr:uid="{00000000-0005-0000-0000-0000AF000000}"/>
    <cellStyle name="Title 2" xfId="176" xr:uid="{00000000-0005-0000-0000-0000B0000000}"/>
    <cellStyle name="title2" xfId="177" xr:uid="{00000000-0005-0000-0000-0000B1000000}"/>
    <cellStyle name="TitleII" xfId="178" xr:uid="{00000000-0005-0000-0000-0000B2000000}"/>
    <cellStyle name="Titles" xfId="179" xr:uid="{00000000-0005-0000-0000-0000B3000000}"/>
    <cellStyle name="TitleSub" xfId="180" xr:uid="{00000000-0005-0000-0000-0000B4000000}"/>
    <cellStyle name="tn" xfId="181" xr:uid="{00000000-0005-0000-0000-0000B5000000}"/>
    <cellStyle name="Total 2" xfId="182" xr:uid="{00000000-0005-0000-0000-0000B6000000}"/>
    <cellStyle name="Warning Text 2" xfId="183" xr:uid="{00000000-0005-0000-0000-0000B7000000}"/>
    <cellStyle name="WholeNumber" xfId="184" xr:uid="{00000000-0005-0000-0000-0000B8000000}"/>
    <cellStyle name="Year&quot;E&quot;" xfId="185" xr:uid="{00000000-0005-0000-0000-0000B9000000}"/>
  </cellStyles>
  <dxfs count="0"/>
  <tableStyles count="0" defaultTableStyle="TableStyleMedium2" defaultPivotStyle="PivotStyleLight16"/>
  <colors>
    <mruColors>
      <color rgb="FF008000"/>
      <color rgb="FF0000FF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Rar$DI00.921/Valuation_2010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kumar.WSP/Downloads/DataSet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 Data"/>
      <sheetName val="Forecast Drivers"/>
      <sheetName val="Results"/>
      <sheetName val="Valuation Summary"/>
    </sheetNames>
    <sheetDataSet>
      <sheetData sheetId="0" refreshError="1"/>
      <sheetData sheetId="1"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330">
          <cell r="D330">
            <v>1</v>
          </cell>
        </row>
      </sheetData>
      <sheetData sheetId="2">
        <row r="142">
          <cell r="F142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_ans"/>
      <sheetName val="Circ"/>
      <sheetName val="Reg 0"/>
      <sheetName val="Reg_ans"/>
      <sheetName val="CF"/>
      <sheetName val="CF_ans"/>
      <sheetName val="BoostToolkitClipBoard2010"/>
      <sheetName val="DS0"/>
      <sheetName val="DS0_ans"/>
      <sheetName val="Data Set1"/>
      <sheetName val="DataSet2"/>
      <sheetName val="DataSet3"/>
      <sheetName val="Other"/>
      <sheetName val="DataSet4"/>
      <sheetName val="Array0"/>
      <sheetName val="Array1"/>
      <sheetName val="Array2"/>
      <sheetName val="Array3"/>
      <sheetName val="Array4"/>
      <sheetName val="Arra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iPad</v>
          </cell>
          <cell r="C5">
            <v>500</v>
          </cell>
        </row>
        <row r="6">
          <cell r="B6" t="str">
            <v>iPod</v>
          </cell>
          <cell r="C6">
            <v>200</v>
          </cell>
        </row>
        <row r="7">
          <cell r="B7" t="str">
            <v>iPhone</v>
          </cell>
          <cell r="C7">
            <v>400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/>
  </sheetViews>
  <sheetFormatPr defaultRowHeight="14.4"/>
  <sheetData>
    <row r="1" spans="1:1">
      <c r="A1">
        <v>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867"/>
  <sheetViews>
    <sheetView tabSelected="1" workbookViewId="0">
      <selection activeCell="N32" sqref="N32"/>
    </sheetView>
  </sheetViews>
  <sheetFormatPr defaultRowHeight="14.4" customHeight="1"/>
  <cols>
    <col min="1" max="1" width="7.44140625" customWidth="1"/>
    <col min="2" max="2" width="9.109375" customWidth="1"/>
    <col min="3" max="3" width="11.77734375" customWidth="1"/>
    <col min="4" max="4" width="11" customWidth="1"/>
    <col min="5" max="15" width="9.109375" customWidth="1"/>
    <col min="16" max="16" width="10" customWidth="1"/>
    <col min="17" max="20" width="9.109375" customWidth="1"/>
    <col min="21" max="21" width="1.5546875" customWidth="1"/>
    <col min="22" max="22" width="1" customWidth="1"/>
    <col min="23" max="29" width="9.109375" customWidth="1"/>
  </cols>
  <sheetData>
    <row r="1" spans="1:42" ht="14.4" customHeight="1">
      <c r="A1" s="29" t="s">
        <v>127</v>
      </c>
      <c r="B1" s="29"/>
      <c r="C1" s="27"/>
      <c r="D1" s="27"/>
      <c r="E1" s="27"/>
      <c r="F1" s="27"/>
      <c r="G1" s="27"/>
      <c r="H1" s="28" t="s">
        <v>88</v>
      </c>
      <c r="I1" s="28"/>
      <c r="J1" s="27"/>
      <c r="K1" s="27"/>
      <c r="L1" s="27"/>
      <c r="M1" s="27"/>
      <c r="N1" s="29"/>
      <c r="O1" s="29" t="s">
        <v>89</v>
      </c>
      <c r="P1" s="27"/>
      <c r="Q1" s="27"/>
      <c r="R1" s="27"/>
      <c r="S1" s="27"/>
      <c r="T1" s="27"/>
      <c r="U1" s="30"/>
      <c r="V1" s="30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 ht="14.4" customHeight="1">
      <c r="A2" s="1" t="s">
        <v>87</v>
      </c>
      <c r="B2" s="1"/>
      <c r="U2" s="30"/>
      <c r="V2" s="30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14.4" customHeight="1">
      <c r="U3" s="30"/>
      <c r="V3" s="30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ht="14.4" customHeight="1">
      <c r="U4" s="30"/>
      <c r="V4" s="30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ht="14.4" customHeight="1">
      <c r="U5" s="30"/>
      <c r="V5" s="30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ht="14.4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30"/>
      <c r="V6" s="30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 ht="14.4" customHeight="1">
      <c r="T7" s="35"/>
      <c r="U7" s="31"/>
      <c r="V7" s="30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4.4" customHeight="1">
      <c r="B8" s="15"/>
      <c r="C8" s="15"/>
      <c r="F8" s="22" t="s">
        <v>22</v>
      </c>
      <c r="G8" s="23"/>
      <c r="H8" s="23"/>
      <c r="I8" s="23"/>
      <c r="K8" s="22" t="s">
        <v>80</v>
      </c>
      <c r="L8" s="23"/>
      <c r="M8" s="23"/>
      <c r="N8" s="23"/>
      <c r="P8" s="22" t="s">
        <v>81</v>
      </c>
      <c r="Q8" s="23"/>
      <c r="R8" s="23"/>
      <c r="S8" s="23"/>
      <c r="T8" s="35"/>
      <c r="U8" s="31"/>
      <c r="V8" s="30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ht="14.4" customHeight="1" thickBot="1">
      <c r="B9" s="24" t="s">
        <v>1</v>
      </c>
      <c r="C9" s="16" t="s">
        <v>69</v>
      </c>
      <c r="D9" s="16" t="s">
        <v>68</v>
      </c>
      <c r="E9" s="16"/>
      <c r="F9" s="16" t="s">
        <v>73</v>
      </c>
      <c r="G9" s="16" t="s">
        <v>12</v>
      </c>
      <c r="H9" s="16" t="s">
        <v>11</v>
      </c>
      <c r="I9" s="16" t="s">
        <v>14</v>
      </c>
      <c r="J9" s="16"/>
      <c r="K9" s="16" t="s">
        <v>73</v>
      </c>
      <c r="L9" s="16" t="s">
        <v>12</v>
      </c>
      <c r="M9" s="16" t="s">
        <v>11</v>
      </c>
      <c r="N9" s="16" t="s">
        <v>14</v>
      </c>
      <c r="O9" s="16"/>
      <c r="P9" s="16" t="s">
        <v>73</v>
      </c>
      <c r="Q9" s="16" t="s">
        <v>12</v>
      </c>
      <c r="R9" s="16" t="s">
        <v>11</v>
      </c>
      <c r="S9" s="16" t="s">
        <v>14</v>
      </c>
      <c r="T9" s="36" t="s">
        <v>78</v>
      </c>
      <c r="U9" s="31"/>
      <c r="V9" s="30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 ht="14.4" customHeight="1">
      <c r="T10" s="35"/>
      <c r="U10" s="31"/>
      <c r="V10" s="30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 ht="14.4" customHeight="1">
      <c r="B11" s="17" t="str">
        <f>Inputs!E$8</f>
        <v>Tesla</v>
      </c>
      <c r="C11" s="131">
        <f>Inputs!E19*Inputs!E11</f>
        <v>1465627.84</v>
      </c>
      <c r="D11" s="131">
        <f>Inputs!E135+Inputs!E127</f>
        <v>1430427.84</v>
      </c>
      <c r="E11" s="9"/>
      <c r="F11" s="131">
        <f>Inputs!E25+Inputs!E43-Inputs!E61</f>
        <v>94549</v>
      </c>
      <c r="G11" s="131">
        <f>Inputs!E40+Inputs!E58-Inputs!E76</f>
        <v>9726</v>
      </c>
      <c r="H11" s="131">
        <f>Inputs!E30+Inputs!E48-Inputs!E66</f>
        <v>3561</v>
      </c>
      <c r="I11" s="18">
        <f>Inputs!E37+Inputs!E55-Inputs!E73</f>
        <v>0.81</v>
      </c>
      <c r="K11" s="131">
        <f>Inputs!E99</f>
        <v>103100</v>
      </c>
      <c r="L11" s="131">
        <f>Inputs!E100</f>
        <v>14820</v>
      </c>
      <c r="M11" s="131">
        <f>Inputs!E101</f>
        <v>8450</v>
      </c>
      <c r="N11" s="18">
        <f>Inputs!E102</f>
        <v>2.06</v>
      </c>
      <c r="P11" s="131">
        <f>Inputs!E108</f>
        <v>120550</v>
      </c>
      <c r="Q11" s="131">
        <f>Inputs!E109</f>
        <v>18900</v>
      </c>
      <c r="R11" s="131">
        <f>Inputs!E110</f>
        <v>12100</v>
      </c>
      <c r="S11" s="18">
        <f>Inputs!E111</f>
        <v>2.85</v>
      </c>
      <c r="T11" s="37">
        <f>Inputs!E116</f>
        <v>0.16900000000000001</v>
      </c>
      <c r="U11" s="31"/>
      <c r="V11" s="30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1:42" ht="14.4" customHeight="1">
      <c r="B12" s="17" t="str">
        <f>Inputs!F$8</f>
        <v>BYD</v>
      </c>
      <c r="C12" s="131">
        <f>Inputs!F19*Inputs!F11</f>
        <v>94148.6</v>
      </c>
      <c r="D12" s="131">
        <f>Inputs!F135+Inputs!F127</f>
        <v>83258.600000000006</v>
      </c>
      <c r="E12" s="9"/>
      <c r="F12" s="131">
        <f>Inputs!F25+Inputs!F43-Inputs!F61</f>
        <v>107180</v>
      </c>
      <c r="G12" s="131">
        <f>Inputs!F40+Inputs!F58-Inputs!F76</f>
        <v>14783</v>
      </c>
      <c r="H12" s="131">
        <f>Inputs!F30+Inputs!F48-Inputs!F66</f>
        <v>6643</v>
      </c>
      <c r="I12" s="18">
        <f>Inputs!F37+Inputs!F55-Inputs!F73</f>
        <v>1.79</v>
      </c>
      <c r="K12" s="131">
        <f>Inputs!F99</f>
        <v>121500</v>
      </c>
      <c r="L12" s="131">
        <f>Inputs!F100</f>
        <v>18200</v>
      </c>
      <c r="M12" s="131">
        <f>Inputs!F101</f>
        <v>9850</v>
      </c>
      <c r="N12" s="18">
        <f>Inputs!F102</f>
        <v>2.2799999999999998</v>
      </c>
      <c r="P12" s="131">
        <f>Inputs!F108</f>
        <v>139400</v>
      </c>
      <c r="Q12" s="131">
        <f>Inputs!F109</f>
        <v>22150</v>
      </c>
      <c r="R12" s="131">
        <f>Inputs!F110</f>
        <v>13400</v>
      </c>
      <c r="S12" s="18">
        <f>Inputs!F111</f>
        <v>2.75</v>
      </c>
      <c r="T12" s="37">
        <f>Inputs!F116</f>
        <v>0.158</v>
      </c>
      <c r="U12" s="31"/>
      <c r="V12" s="30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 ht="14.4" customHeight="1">
      <c r="B13" s="17" t="str">
        <f>Inputs!G$8</f>
        <v>NIO</v>
      </c>
      <c r="C13" s="131">
        <f>Inputs!G19*Inputs!G11</f>
        <v>11418.15</v>
      </c>
      <c r="D13" s="131">
        <f>Inputs!G135+Inputs!G127</f>
        <v>8374.15</v>
      </c>
      <c r="E13" s="9"/>
      <c r="F13" s="131">
        <f>Inputs!G25+Inputs!G43-Inputs!G61</f>
        <v>9815</v>
      </c>
      <c r="G13" s="131">
        <f>Inputs!G40+Inputs!G58-Inputs!G76</f>
        <v>-1817</v>
      </c>
      <c r="H13" s="131">
        <f>Inputs!G30+Inputs!G48-Inputs!G66</f>
        <v>-2872</v>
      </c>
      <c r="I13" s="18">
        <f>Inputs!G37+Inputs!G55-Inputs!G73</f>
        <v>-1.42</v>
      </c>
      <c r="K13" s="131">
        <f>Inputs!G99</f>
        <v>11450</v>
      </c>
      <c r="L13" s="131">
        <f>Inputs!G100</f>
        <v>-850</v>
      </c>
      <c r="M13" s="131">
        <f>Inputs!G101</f>
        <v>-1920</v>
      </c>
      <c r="N13" s="18">
        <f>Inputs!G102</f>
        <v>-0.85</v>
      </c>
      <c r="P13" s="131">
        <f>Inputs!G108</f>
        <v>14920</v>
      </c>
      <c r="Q13" s="131">
        <f>Inputs!G109</f>
        <v>450</v>
      </c>
      <c r="R13" s="131">
        <f>Inputs!G110</f>
        <v>-620</v>
      </c>
      <c r="S13" s="18">
        <f>Inputs!G111</f>
        <v>-0.15</v>
      </c>
      <c r="T13" s="37">
        <f>Inputs!G116</f>
        <v>0.224</v>
      </c>
      <c r="U13" s="31"/>
      <c r="V13" s="30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spans="1:42" ht="14.4" customHeight="1">
      <c r="B14" s="17" t="str">
        <f>Inputs!H$8</f>
        <v>RIVN</v>
      </c>
      <c r="C14" s="131">
        <f>Inputs!H19*Inputs!H11</f>
        <v>19640.53</v>
      </c>
      <c r="D14" s="131">
        <f>Inputs!H135+Inputs!H127</f>
        <v>16991.53</v>
      </c>
      <c r="E14" s="9"/>
      <c r="F14" s="131">
        <f>Inputs!H25+Inputs!H43-Inputs!H61</f>
        <v>4948</v>
      </c>
      <c r="G14" s="131">
        <f>Inputs!H40+Inputs!H58-Inputs!H76</f>
        <v>-3397</v>
      </c>
      <c r="H14" s="131">
        <f>Inputs!H30+Inputs!H48-Inputs!H66</f>
        <v>-4426</v>
      </c>
      <c r="I14" s="18">
        <f>Inputs!H37+Inputs!H55-Inputs!H73</f>
        <v>-4.24</v>
      </c>
      <c r="K14" s="131">
        <f>Inputs!H99</f>
        <v>6280</v>
      </c>
      <c r="L14" s="131">
        <f>Inputs!H100</f>
        <v>-2150</v>
      </c>
      <c r="M14" s="131">
        <f>Inputs!H101</f>
        <v>-3150</v>
      </c>
      <c r="N14" s="18">
        <f>Inputs!H102</f>
        <v>-2.65</v>
      </c>
      <c r="P14" s="131">
        <f>Inputs!H108</f>
        <v>9800</v>
      </c>
      <c r="Q14" s="131">
        <f>Inputs!H109</f>
        <v>-420</v>
      </c>
      <c r="R14" s="131">
        <f>Inputs!H110</f>
        <v>-1400</v>
      </c>
      <c r="S14" s="18">
        <f>Inputs!H111</f>
        <v>-0.95</v>
      </c>
      <c r="T14" s="37">
        <f>Inputs!H116</f>
        <v>0.28499999999999998</v>
      </c>
      <c r="U14" s="31"/>
      <c r="V14" s="30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spans="1:42" ht="14.4" customHeight="1">
      <c r="B15" s="17"/>
      <c r="C15" s="4"/>
      <c r="F15" s="9"/>
      <c r="G15" s="11"/>
      <c r="H15" s="11"/>
      <c r="I15" s="18"/>
      <c r="K15" s="9"/>
      <c r="L15" s="9"/>
      <c r="M15" s="9"/>
      <c r="N15" s="18"/>
      <c r="P15" s="9"/>
      <c r="Q15" s="9"/>
      <c r="R15" s="9"/>
      <c r="S15" s="18"/>
      <c r="T15" s="37"/>
      <c r="U15" s="31"/>
      <c r="V15" s="30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spans="1:42" ht="14.4" customHeight="1">
      <c r="F16" s="22" t="s">
        <v>22</v>
      </c>
      <c r="G16" s="23"/>
      <c r="H16" s="23"/>
      <c r="I16" s="23"/>
      <c r="K16" s="22" t="s">
        <v>80</v>
      </c>
      <c r="L16" s="23"/>
      <c r="M16" s="23"/>
      <c r="N16" s="23"/>
      <c r="P16" s="22" t="s">
        <v>81</v>
      </c>
      <c r="Q16" s="23"/>
      <c r="R16" s="23"/>
      <c r="S16" s="23"/>
      <c r="T16" s="35"/>
      <c r="U16" s="31"/>
      <c r="V16" s="30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spans="2:49" ht="14.4" customHeight="1" thickBot="1">
      <c r="B17" s="24" t="s">
        <v>1</v>
      </c>
      <c r="C17" s="7"/>
      <c r="D17" s="8"/>
      <c r="E17" s="5"/>
      <c r="F17" s="16" t="s">
        <v>74</v>
      </c>
      <c r="G17" s="16" t="s">
        <v>75</v>
      </c>
      <c r="H17" s="16" t="s">
        <v>76</v>
      </c>
      <c r="I17" s="16" t="s">
        <v>77</v>
      </c>
      <c r="J17" s="16"/>
      <c r="K17" s="16" t="s">
        <v>74</v>
      </c>
      <c r="L17" s="16" t="s">
        <v>75</v>
      </c>
      <c r="M17" s="16" t="s">
        <v>76</v>
      </c>
      <c r="N17" s="16" t="s">
        <v>30</v>
      </c>
      <c r="O17" s="16"/>
      <c r="P17" s="16" t="s">
        <v>74</v>
      </c>
      <c r="Q17" s="16" t="s">
        <v>75</v>
      </c>
      <c r="R17" s="16" t="s">
        <v>76</v>
      </c>
      <c r="S17" s="16" t="s">
        <v>77</v>
      </c>
      <c r="T17" s="36" t="s">
        <v>79</v>
      </c>
      <c r="U17" s="31"/>
      <c r="V17" s="30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spans="2:49" ht="14.4" customHeight="1">
      <c r="T18" s="35"/>
      <c r="U18" s="31"/>
      <c r="V18" s="30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spans="2:49" ht="14.4" customHeight="1">
      <c r="B19" s="17" t="str">
        <f>Inputs!E$8</f>
        <v>Tesla</v>
      </c>
      <c r="F19" s="14">
        <f>Inputs!E138/Inputs!E81</f>
        <v>15.128957894848174</v>
      </c>
      <c r="G19" s="14">
        <f>Inputs!E138/Inputs!E82</f>
        <v>147.0725724861197</v>
      </c>
      <c r="H19" s="14">
        <f>Inputs!E138/Inputs!E83</f>
        <v>401.69273799494528</v>
      </c>
      <c r="I19" s="14">
        <f>Inputs!E11/Inputs!E84</f>
        <v>515.20987654320982</v>
      </c>
      <c r="K19" s="15">
        <f>Inputs!E$138/Inputs!E99</f>
        <v>13.874178855480118</v>
      </c>
      <c r="L19" s="15">
        <f>Inputs!E$138/Inputs!E100</f>
        <v>96.520097165991913</v>
      </c>
      <c r="M19" s="15">
        <f>Inputs!E$138/Inputs!E101</f>
        <v>169.28140118343197</v>
      </c>
      <c r="N19" s="15">
        <f>Inputs!E133/Inputs!E102</f>
        <v>202.58252427184465</v>
      </c>
      <c r="P19" s="15">
        <f>Inputs!E$138/Inputs!E108</f>
        <v>11.865846868519288</v>
      </c>
      <c r="Q19" s="15">
        <f>Inputs!E$138/Inputs!E109</f>
        <v>75.684012698412701</v>
      </c>
      <c r="R19" s="15">
        <f>Inputs!E$138/Inputs!E110</f>
        <v>118.21717685950414</v>
      </c>
      <c r="S19" s="15">
        <f>Inputs!E133/Inputs!E111</f>
        <v>146.42807017543859</v>
      </c>
      <c r="T19" s="38">
        <f>Inputs!E151/(Inputs!E116*100)</f>
        <v>11.987131613718617</v>
      </c>
      <c r="U19" s="31"/>
      <c r="V19" s="30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2:49" ht="14.4" customHeight="1">
      <c r="B20" s="17" t="str">
        <f>Inputs!F$8</f>
        <v>BYD</v>
      </c>
      <c r="F20" s="14">
        <f>Inputs!F138/Inputs!F81</f>
        <v>0.77681097219630535</v>
      </c>
      <c r="G20" s="14">
        <f>Inputs!F138/Inputs!F82</f>
        <v>5.6320503280795515</v>
      </c>
      <c r="H20" s="14">
        <f>Inputs!F138/Inputs!F83</f>
        <v>12.533283155200964</v>
      </c>
      <c r="I20" s="14">
        <f>Inputs!F11/Inputs!F84</f>
        <v>17.793296089385475</v>
      </c>
      <c r="K20" s="15">
        <f>Inputs!F$138/Inputs!F99</f>
        <v>0.68525596707818937</v>
      </c>
      <c r="L20" s="15">
        <f>Inputs!F$138/Inputs!F100</f>
        <v>4.574648351648352</v>
      </c>
      <c r="M20" s="15">
        <f>Inputs!F$138/Inputs!F101</f>
        <v>8.4526497461928933</v>
      </c>
      <c r="N20" s="15">
        <f>Inputs!F133/Inputs!F102</f>
        <v>13.969298245614038</v>
      </c>
      <c r="P20" s="15">
        <f>Inputs!F$138/Inputs!F108</f>
        <v>0.59726398852223817</v>
      </c>
      <c r="Q20" s="15">
        <f>Inputs!F$138/Inputs!F109</f>
        <v>3.7588532731376976</v>
      </c>
      <c r="R20" s="15">
        <f>Inputs!F$138/Inputs!F110</f>
        <v>6.2133283582089556</v>
      </c>
      <c r="S20" s="15">
        <f>Inputs!F133/Inputs!F111</f>
        <v>11.581818181818182</v>
      </c>
      <c r="T20" s="38">
        <f>Inputs!F151/(Inputs!F116*100)</f>
        <v>0.88413280035531883</v>
      </c>
      <c r="U20" s="31"/>
      <c r="V20" s="30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2:49" ht="14.4" customHeight="1">
      <c r="B21" s="17" t="str">
        <f>Inputs!G$8</f>
        <v>NIO</v>
      </c>
      <c r="F21" s="14">
        <f>Inputs!G138/Inputs!G81</f>
        <v>0.85319918492103919</v>
      </c>
      <c r="G21" s="14">
        <f>Inputs!G138/Inputs!G82</f>
        <v>-4.6087782058337918</v>
      </c>
      <c r="H21" s="14">
        <f>Inputs!G138/Inputs!G83</f>
        <v>-2.9157903899721447</v>
      </c>
      <c r="I21" s="14">
        <f>Inputs!G11/Inputs!G84</f>
        <v>-3.443661971830986</v>
      </c>
      <c r="K21" s="15">
        <f>Inputs!G$138/Inputs!G99</f>
        <v>0.73136681222707423</v>
      </c>
      <c r="L21" s="15">
        <f>Inputs!G$138/Inputs!G100</f>
        <v>-9.8519411764705875</v>
      </c>
      <c r="M21" s="15">
        <f>Inputs!G$138/Inputs!G101</f>
        <v>-4.3615364583333331</v>
      </c>
      <c r="N21" s="15">
        <f>Inputs!G133/Inputs!G102</f>
        <v>-5.7529411764705882</v>
      </c>
      <c r="P21" s="15">
        <f>Inputs!G$138/Inputs!G108</f>
        <v>0.56127010723860582</v>
      </c>
      <c r="Q21" s="15">
        <f>Inputs!G$138/Inputs!G109</f>
        <v>18.609222222222222</v>
      </c>
      <c r="R21" s="15">
        <f>Inputs!G$138/Inputs!G110</f>
        <v>-13.506693548387096</v>
      </c>
      <c r="S21" s="15">
        <f>Inputs!G133/Inputs!G111</f>
        <v>-32.6</v>
      </c>
      <c r="T21" s="38">
        <f>Inputs!G151/(Inputs!G116*100)</f>
        <v>-0.25682773109243695</v>
      </c>
      <c r="U21" s="31"/>
      <c r="V21" s="30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2:49" ht="14.4" customHeight="1">
      <c r="B22" s="17" t="str">
        <f>Inputs!H$8</f>
        <v>RIVN</v>
      </c>
      <c r="F22" s="14">
        <f>Inputs!H138/Inputs!H81</f>
        <v>3.4340198059822149</v>
      </c>
      <c r="G22" s="14">
        <f>Inputs!H138/Inputs!H82</f>
        <v>-5.0019222843685602</v>
      </c>
      <c r="H22" s="14">
        <f>Inputs!H138/Inputs!H83</f>
        <v>-3.8390262087663802</v>
      </c>
      <c r="I22" s="14">
        <f>Inputs!H11/Inputs!H84</f>
        <v>-3.4646226415094339</v>
      </c>
      <c r="K22" s="15">
        <f>Inputs!H$138/Inputs!H99</f>
        <v>2.7056576433121018</v>
      </c>
      <c r="L22" s="15">
        <f>Inputs!H$138/Inputs!H100</f>
        <v>-7.9030372093023251</v>
      </c>
      <c r="M22" s="15">
        <f>Inputs!H$138/Inputs!H101</f>
        <v>-5.3941365079365076</v>
      </c>
      <c r="N22" s="15">
        <f>Inputs!H133/Inputs!H102</f>
        <v>-5.5433962264150942</v>
      </c>
      <c r="P22" s="15">
        <f>Inputs!H$138/Inputs!H108</f>
        <v>1.7338295918367346</v>
      </c>
      <c r="Q22" s="15">
        <f>Inputs!H$138/Inputs!H109</f>
        <v>-40.456023809523806</v>
      </c>
      <c r="R22" s="15">
        <f>Inputs!H$138/Inputs!H110</f>
        <v>-12.136807142857142</v>
      </c>
      <c r="S22" s="15">
        <f>Inputs!H133/Inputs!H111</f>
        <v>-15.463157894736842</v>
      </c>
      <c r="T22" s="38">
        <f>Inputs!H151/(Inputs!H116*100)</f>
        <v>-0.19450513075140685</v>
      </c>
      <c r="U22" s="31"/>
      <c r="V22" s="30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2:49" ht="14.4" customHeight="1">
      <c r="T23" s="35"/>
      <c r="U23" s="31"/>
      <c r="V23" s="30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2:49" ht="14.4" customHeight="1">
      <c r="E24" s="20" t="s">
        <v>27</v>
      </c>
      <c r="F24" s="19">
        <f>MAX(F19:F22)</f>
        <v>15.128957894848174</v>
      </c>
      <c r="G24" s="19">
        <f t="shared" ref="G24:I24" si="0">MAX(G19:G22)</f>
        <v>147.0725724861197</v>
      </c>
      <c r="H24" s="19">
        <f t="shared" si="0"/>
        <v>401.69273799494528</v>
      </c>
      <c r="I24" s="19">
        <f t="shared" si="0"/>
        <v>515.20987654320982</v>
      </c>
      <c r="J24" s="19"/>
      <c r="K24" s="19">
        <f t="shared" ref="K24:N24" si="1">MAX(K19:K22)</f>
        <v>13.874178855480118</v>
      </c>
      <c r="L24" s="19">
        <f t="shared" si="1"/>
        <v>96.520097165991913</v>
      </c>
      <c r="M24" s="19">
        <f t="shared" si="1"/>
        <v>169.28140118343197</v>
      </c>
      <c r="N24" s="19">
        <f t="shared" si="1"/>
        <v>202.58252427184465</v>
      </c>
      <c r="O24" s="19"/>
      <c r="P24" s="19">
        <f t="shared" ref="P24:T24" si="2">MAX(P19:P22)</f>
        <v>11.865846868519288</v>
      </c>
      <c r="Q24" s="19">
        <f t="shared" si="2"/>
        <v>75.684012698412701</v>
      </c>
      <c r="R24" s="19">
        <f t="shared" si="2"/>
        <v>118.21717685950414</v>
      </c>
      <c r="S24" s="19">
        <f t="shared" si="2"/>
        <v>146.42807017543859</v>
      </c>
      <c r="T24" s="39">
        <f t="shared" si="2"/>
        <v>11.987131613718617</v>
      </c>
      <c r="U24" s="31"/>
      <c r="V24" s="30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spans="2:49" ht="14.4" customHeight="1">
      <c r="E25" s="20" t="s">
        <v>28</v>
      </c>
      <c r="F25" s="19">
        <f>MIN(F19:F22)</f>
        <v>0.77681097219630535</v>
      </c>
      <c r="G25" s="19">
        <f t="shared" ref="G25:T25" si="3">MIN(G19:G22)</f>
        <v>-5.0019222843685602</v>
      </c>
      <c r="H25" s="19">
        <f t="shared" si="3"/>
        <v>-3.8390262087663802</v>
      </c>
      <c r="I25" s="19">
        <f t="shared" si="3"/>
        <v>-3.4646226415094339</v>
      </c>
      <c r="J25" s="19"/>
      <c r="K25" s="19">
        <f t="shared" si="3"/>
        <v>0.68525596707818937</v>
      </c>
      <c r="L25" s="19">
        <f t="shared" si="3"/>
        <v>-9.8519411764705875</v>
      </c>
      <c r="M25" s="19">
        <f t="shared" si="3"/>
        <v>-5.3941365079365076</v>
      </c>
      <c r="N25" s="19">
        <f t="shared" si="3"/>
        <v>-5.7529411764705882</v>
      </c>
      <c r="O25" s="19"/>
      <c r="P25" s="19">
        <f t="shared" si="3"/>
        <v>0.56127010723860582</v>
      </c>
      <c r="Q25" s="19">
        <f t="shared" si="3"/>
        <v>-40.456023809523806</v>
      </c>
      <c r="R25" s="19">
        <f t="shared" si="3"/>
        <v>-13.506693548387096</v>
      </c>
      <c r="S25" s="19">
        <f t="shared" si="3"/>
        <v>-32.6</v>
      </c>
      <c r="T25" s="39">
        <f t="shared" si="3"/>
        <v>-0.25682773109243695</v>
      </c>
      <c r="U25" s="31"/>
      <c r="V25" s="30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spans="2:49" ht="14.4" customHeight="1">
      <c r="E26" s="20" t="s">
        <v>29</v>
      </c>
      <c r="F26" s="19">
        <f>MEDIAN(F19:F22)</f>
        <v>2.1436094954516269</v>
      </c>
      <c r="G26" s="19">
        <f t="shared" ref="G26:T26" si="4">MEDIAN(G19:G22)</f>
        <v>0.51163606112288029</v>
      </c>
      <c r="H26" s="19">
        <f t="shared" si="4"/>
        <v>4.8087463826144097</v>
      </c>
      <c r="I26" s="19">
        <f t="shared" si="4"/>
        <v>7.1748170587772453</v>
      </c>
      <c r="J26" s="19"/>
      <c r="K26" s="19">
        <f t="shared" si="4"/>
        <v>1.7185122277695881</v>
      </c>
      <c r="L26" s="19">
        <f t="shared" si="4"/>
        <v>-1.6641944288269865</v>
      </c>
      <c r="M26" s="19">
        <f t="shared" si="4"/>
        <v>2.0455566439297801</v>
      </c>
      <c r="N26" s="19">
        <f t="shared" si="4"/>
        <v>4.2129510095994718</v>
      </c>
      <c r="O26" s="19"/>
      <c r="P26" s="19">
        <f t="shared" si="4"/>
        <v>1.1655467901794863</v>
      </c>
      <c r="Q26" s="19">
        <f t="shared" si="4"/>
        <v>11.184037747679959</v>
      </c>
      <c r="R26" s="19">
        <f t="shared" si="4"/>
        <v>-2.9617393923240929</v>
      </c>
      <c r="S26" s="19">
        <f t="shared" si="4"/>
        <v>-1.9406698564593299</v>
      </c>
      <c r="T26" s="39">
        <f t="shared" si="4"/>
        <v>0.34481383480195593</v>
      </c>
      <c r="U26" s="31"/>
      <c r="V26" s="30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 spans="2:49" ht="14.4" customHeight="1">
      <c r="E27" s="6" t="s">
        <v>26</v>
      </c>
      <c r="F27" s="21">
        <f>AVERAGE(F19:F22)</f>
        <v>5.0482469644869328</v>
      </c>
      <c r="G27" s="21">
        <f t="shared" ref="G27:T27" si="5">AVERAGE(G19:G22)</f>
        <v>35.77348058099922</v>
      </c>
      <c r="H27" s="21">
        <f t="shared" si="5"/>
        <v>101.86780113785194</v>
      </c>
      <c r="I27" s="21">
        <f t="shared" si="5"/>
        <v>131.52372200481369</v>
      </c>
      <c r="J27" s="21"/>
      <c r="K27" s="21">
        <f t="shared" si="5"/>
        <v>4.4991148195243706</v>
      </c>
      <c r="L27" s="21">
        <f t="shared" si="5"/>
        <v>20.834941782966837</v>
      </c>
      <c r="M27" s="21">
        <f t="shared" si="5"/>
        <v>41.994594490838757</v>
      </c>
      <c r="N27" s="21">
        <f t="shared" si="5"/>
        <v>51.313871278643248</v>
      </c>
      <c r="O27" s="21"/>
      <c r="P27" s="21">
        <f t="shared" si="5"/>
        <v>3.6895526390292166</v>
      </c>
      <c r="Q27" s="21">
        <f t="shared" si="5"/>
        <v>14.399016096062203</v>
      </c>
      <c r="R27" s="21">
        <f t="shared" si="5"/>
        <v>24.696751131617216</v>
      </c>
      <c r="S27" s="21">
        <f t="shared" si="5"/>
        <v>27.486682615629988</v>
      </c>
      <c r="T27" s="40">
        <f t="shared" si="5"/>
        <v>3.1049828880575228</v>
      </c>
      <c r="U27" s="31"/>
      <c r="V27" s="30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2:49" ht="14.4" customHeight="1">
      <c r="E28" s="6" t="s">
        <v>0</v>
      </c>
      <c r="F28" s="21">
        <f>F19</f>
        <v>15.128957894848174</v>
      </c>
      <c r="G28" s="21">
        <f>G19</f>
        <v>147.0725724861197</v>
      </c>
      <c r="H28" s="21">
        <f>H19</f>
        <v>401.69273799494528</v>
      </c>
      <c r="I28" s="21">
        <f>I19</f>
        <v>515.20987654320982</v>
      </c>
      <c r="J28" s="21"/>
      <c r="K28" s="21">
        <f>K19</f>
        <v>13.874178855480118</v>
      </c>
      <c r="L28" s="21">
        <f>L19</f>
        <v>96.520097165991913</v>
      </c>
      <c r="M28" s="21">
        <f>M19</f>
        <v>169.28140118343197</v>
      </c>
      <c r="N28" s="21">
        <f>N19</f>
        <v>202.58252427184465</v>
      </c>
      <c r="O28" s="21"/>
      <c r="P28" s="21">
        <f>P19</f>
        <v>11.865846868519288</v>
      </c>
      <c r="Q28" s="21">
        <f>Q19</f>
        <v>75.684012698412701</v>
      </c>
      <c r="R28" s="21">
        <f>R19</f>
        <v>118.21717685950414</v>
      </c>
      <c r="S28" s="21">
        <f>S19</f>
        <v>146.42807017543859</v>
      </c>
      <c r="T28" s="40">
        <f>T19</f>
        <v>11.987131613718617</v>
      </c>
      <c r="U28" s="31"/>
      <c r="V28" s="30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spans="2:49" ht="14.4" customHeight="1">
      <c r="T29" s="35"/>
      <c r="U29" s="31"/>
      <c r="V29" s="30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spans="2:49" ht="14.4" customHeight="1">
      <c r="T30" s="35"/>
      <c r="U30" s="31"/>
      <c r="V30" s="30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spans="2:49" ht="14.4" customHeight="1">
      <c r="T31" s="35"/>
      <c r="U31" s="31"/>
      <c r="V31" s="30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2:49">
      <c r="O32" s="43"/>
      <c r="T32" s="35"/>
      <c r="U32" s="25"/>
      <c r="V32" s="30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ht="6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ht="14.4" customHeight="1">
      <c r="A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9" ht="14.4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spans="1:49" ht="14.4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9" ht="14.4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9" ht="14.4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9" ht="14.4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9" ht="14.4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9" ht="14.4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 spans="1:49" ht="14.4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9" ht="14.4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9" ht="14.4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spans="1:49" ht="14.4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spans="1:49" ht="14.4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spans="1:49" ht="14.4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spans="1:49" ht="14.4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 ht="14.4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2" ht="14.4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spans="1:42" ht="14.4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spans="1:42" ht="14.4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 spans="1:42" ht="14.4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spans="1:42" ht="14.4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spans="1:42" ht="14.4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spans="1:42" ht="14.4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spans="1:42" ht="14.4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spans="1:42" ht="14.4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spans="1:42" ht="14.4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spans="1:42" ht="14.4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spans="1:42" ht="14.4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spans="1:42" ht="14.4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spans="1:42" ht="14.4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spans="1:42" ht="14.4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1:42" ht="14.4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spans="1:42" ht="14.4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spans="1:42" ht="14.4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spans="1:42" ht="14.4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spans="1:42" ht="14.4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spans="1:42" ht="14.4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spans="1:42" ht="14.4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 spans="1:42" ht="14.4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spans="1:42" ht="14.4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spans="1:42" ht="14.4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2" ht="14.4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spans="1:42" ht="14.4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 spans="1:42" ht="14.4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spans="1:42" ht="14.4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spans="1:42" ht="14.4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spans="1:42" ht="14.4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spans="1:42" ht="14.4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 spans="1:42" ht="14.4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spans="1:42" ht="14.4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spans="1:42" ht="14.4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spans="1:42" ht="14.4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1:42" ht="14.4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1:42" ht="14.4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spans="1:42" ht="14.4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spans="1:42" ht="14.4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spans="1:42" ht="14.4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spans="1:42" ht="14.4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spans="1:42" ht="14.4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spans="1:42" ht="14.4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spans="1:42" ht="14.4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 spans="1:42" ht="14.4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 spans="1:42" ht="14.4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spans="1:42" ht="14.4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spans="1:42" ht="14.4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spans="1:42" ht="14.4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spans="1:42" ht="14.4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 spans="1:42" ht="14.4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spans="1:42" ht="14.4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</row>
    <row r="103" spans="1:42" ht="14.4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spans="1:42" ht="14.4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</row>
    <row r="105" spans="1:42" ht="14.4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spans="1:42" ht="14.4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 spans="1:42" ht="14.4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spans="1:42" ht="14.4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 spans="1:42" ht="14.4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 spans="1:42" ht="14.4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 spans="1:42" ht="14.4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 spans="1:42" ht="14.4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 spans="1:42" ht="14.4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 spans="1:42" ht="14.4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 spans="1:42" ht="14.4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 spans="1:42" ht="14.4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1:42" ht="14.4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 spans="1:42" ht="14.4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 spans="1:42" ht="14.4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 spans="1:42" ht="14.4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 spans="1:42" ht="14.4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 spans="1:42" ht="14.4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1:42" ht="14.4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 spans="1:42" ht="14.4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 spans="1:42" ht="14.4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 spans="1:42" ht="14.4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 spans="1:42" ht="14.4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 spans="1:42" ht="14.4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 spans="1:42" ht="14.4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 spans="1:42" ht="14.4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 spans="1:42" ht="14.4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 spans="1:42" ht="14.4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 spans="1:42" ht="14.4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 spans="1:42" ht="14.4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 spans="1:42" ht="14.4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 spans="1:42" ht="14.4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 spans="1:42" ht="14.4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 spans="1:42" ht="14.4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 spans="1:42" ht="14.4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 spans="1:42" ht="14.4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 spans="1:42" ht="14.4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 spans="1:42" ht="14.4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spans="1:42" ht="14.4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spans="1:42" ht="14.4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</row>
    <row r="145" spans="1:42" ht="14.4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spans="1:42" ht="14.4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 spans="1:42" ht="14.4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 spans="1:42" ht="14.4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 spans="1:42" ht="14.4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spans="1:42" ht="14.4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 spans="1:42" ht="14.4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spans="1:42" ht="14.4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spans="1:42" ht="14.4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spans="1:42" ht="14.4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 spans="1:42" ht="14.4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spans="1:42" ht="14.4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 spans="1:42" ht="14.4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 spans="1:42" ht="14.4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 spans="1:42" ht="14.4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 spans="1:42" ht="14.4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 spans="1:42" ht="14.4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 spans="1:42" ht="14.4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 spans="1:42" ht="14.4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 spans="1:42" ht="14.4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 spans="1:42" ht="14.4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 spans="1:42" ht="14.4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 spans="1:42" ht="14.4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 spans="1:42" ht="14.4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 spans="1:42" ht="14.4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1:42" ht="14.4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 spans="1:42" ht="14.4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 spans="1:42" ht="14.4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</row>
    <row r="173" spans="1:42" ht="14.4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</row>
    <row r="174" spans="1:42" ht="14.4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</row>
    <row r="175" spans="1:42" ht="14.4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</row>
    <row r="176" spans="1:42" ht="14.4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 spans="1:42" ht="14.4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 spans="1:42" ht="14.4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 spans="1:42" ht="14.4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 spans="1:42" ht="14.4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 spans="1:42" ht="14.4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 spans="1:42" ht="14.4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 spans="1:42" ht="14.4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 spans="1:42" ht="14.4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 spans="1:42" ht="14.4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 spans="1:42" ht="14.4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</row>
    <row r="187" spans="1:42" ht="14.4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</row>
    <row r="188" spans="1:42" ht="14.4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 spans="1:42" ht="14.4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 spans="1:42" ht="14.4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 spans="1:42" ht="14.4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 spans="1:42" ht="14.4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 spans="1:42" ht="14.4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 spans="1:42" ht="14.4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 spans="1:42" ht="14.4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 spans="1:42" ht="14.4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 spans="1:42" ht="14.4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 spans="1:42" ht="14.4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 spans="1:42" ht="14.4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 spans="1:42" ht="14.4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 spans="1:42" ht="14.4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 spans="1:42" ht="14.4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 spans="1:42" ht="14.4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 spans="1:42" ht="14.4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spans="1:42" ht="14.4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 spans="1:42" ht="14.4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 spans="1:42" ht="14.4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 spans="1:42" ht="14.4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 spans="1:42" ht="14.4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 spans="1:42" ht="14.4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 spans="1:42" ht="14.4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 spans="1:42" ht="14.4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 spans="1:42" ht="14.4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 spans="1:42" ht="14.4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 spans="1:42" ht="14.4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 spans="1:42" ht="14.4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 spans="1:42" ht="14.4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 spans="1:42" ht="14.4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 spans="1:42" ht="14.4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 spans="1:42" ht="14.4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 spans="1:42" ht="14.4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 spans="1:42" ht="14.4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1:42" ht="14.4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 spans="1:42" ht="14.4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 spans="1:42" ht="14.4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 spans="1:42" ht="14.4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 spans="1:42" ht="14.4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spans="1:42" ht="14.4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 spans="1:42" ht="14.4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 spans="1:42" ht="14.4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 spans="1:42" ht="14.4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 spans="1:42" ht="14.4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</row>
    <row r="233" spans="1:42" ht="14.4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</row>
    <row r="234" spans="1:42" ht="14.4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</row>
    <row r="235" spans="1:42" ht="14.4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 spans="1:42" ht="14.4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 spans="1:42" ht="14.4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 spans="1:42" ht="14.4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 spans="1:42" ht="14.4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 spans="1:42" ht="14.4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 spans="1:42" ht="14.4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 spans="1:42" ht="14.4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 spans="1:42" ht="14.4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 spans="1:42" ht="14.4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 spans="1:42" ht="14.4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 spans="1:42" ht="14.4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 spans="1:42" ht="14.4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 spans="1:42" ht="14.4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 spans="1:42" ht="14.4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 spans="1:42" ht="14.4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 spans="1:42" ht="14.4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 spans="1:42" ht="14.4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 spans="1:42" ht="14.4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 spans="1:42" ht="14.4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 spans="1:42" ht="14.4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 spans="1:42" ht="14.4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 spans="1:42" ht="14.4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 spans="1:42" ht="14.4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 spans="1:42" ht="14.4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 spans="1:42" ht="14.4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 spans="1:42" ht="14.4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 spans="1:42" ht="14.4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 spans="1:42" ht="14.4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 spans="1:42" ht="14.4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 spans="1:42" ht="14.4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 spans="1:42" ht="14.4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 spans="1:42" ht="14.4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 spans="1:42" ht="14.4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</row>
    <row r="269" spans="1:42" ht="14.4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 spans="1:42" ht="14.4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 spans="1:42" ht="14.4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 spans="1:42" ht="14.4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 spans="1:42" ht="14.4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 spans="1:42" ht="14.4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1:42" ht="14.4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 spans="1:42" ht="14.4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 spans="1:42" ht="14.4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 spans="1:42" ht="14.4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 spans="1:42" ht="14.4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 spans="1:42" ht="14.4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 spans="1:42" ht="14.4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 spans="1:42" ht="14.4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 spans="1:42" ht="14.4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 spans="1:42" ht="14.4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 spans="1:42" ht="14.4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 spans="1:42" ht="14.4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</row>
    <row r="287" spans="1:42" ht="14.4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</row>
    <row r="288" spans="1:42" ht="14.4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 spans="1:42" ht="14.4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 ht="14.4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 ht="14.4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 ht="14.4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 ht="14.4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 spans="1:42" ht="14.4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 spans="1:42" ht="14.4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 spans="1:42" ht="14.4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 spans="1:42" ht="14.4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 spans="1:42" ht="14.4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 spans="1:42" ht="14.4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 spans="1:42" ht="14.4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</row>
    <row r="301" spans="1:42" ht="14.4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 spans="1:42" ht="14.4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 spans="1:42" ht="14.4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 spans="1:42" ht="14.4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 spans="1:42" ht="14.4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</row>
    <row r="306" spans="1:42" ht="14.4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 spans="1:42" ht="14.4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 spans="1:42" ht="14.4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  <row r="309" spans="1:42" ht="14.4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</row>
    <row r="310" spans="1:42" ht="14.4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</row>
    <row r="311" spans="1:42" ht="14.4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</row>
    <row r="312" spans="1:42" ht="14.4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</row>
    <row r="313" spans="1:42" ht="14.4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</row>
    <row r="314" spans="1:42" ht="14.4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</row>
    <row r="315" spans="1:42" ht="14.4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</row>
    <row r="316" spans="1:42" ht="14.4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</row>
    <row r="317" spans="1:42" ht="14.4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</row>
    <row r="318" spans="1:42" ht="14.4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</row>
    <row r="319" spans="1:42" ht="14.4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</row>
    <row r="320" spans="1:42" ht="14.4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</row>
    <row r="321" spans="1:42" ht="14.4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</row>
    <row r="322" spans="1:42" ht="14.4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</row>
    <row r="323" spans="1:42" ht="14.4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</row>
    <row r="324" spans="1:42" ht="14.4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</row>
    <row r="325" spans="1:42" ht="14.4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</row>
    <row r="326" spans="1:42" ht="14.4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 spans="1:42" ht="14.4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</row>
    <row r="328" spans="1:42" ht="14.4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</row>
    <row r="329" spans="1:42" ht="14.4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</row>
    <row r="330" spans="1:42" ht="14.4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</row>
    <row r="331" spans="1:42" ht="14.4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</row>
    <row r="332" spans="1:42" ht="14.4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</row>
    <row r="333" spans="1:42" ht="14.4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</row>
    <row r="334" spans="1:42" ht="14.4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</row>
    <row r="335" spans="1:42" ht="14.4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</row>
    <row r="336" spans="1:42" ht="14.4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</row>
    <row r="337" spans="1:42" ht="14.4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</row>
    <row r="338" spans="1:42" ht="14.4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</row>
    <row r="339" spans="1:42" ht="14.4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</row>
    <row r="340" spans="1:42" ht="14.4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</row>
    <row r="341" spans="1:42" ht="14.4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</row>
    <row r="342" spans="1:42" ht="14.4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</row>
    <row r="343" spans="1:42" ht="14.4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</row>
    <row r="344" spans="1:42" ht="14.4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</row>
    <row r="345" spans="1:42" ht="14.4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</row>
    <row r="346" spans="1:42" ht="14.4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</row>
    <row r="347" spans="1:42" ht="14.4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</row>
    <row r="348" spans="1:42" ht="14.4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</row>
    <row r="349" spans="1:42" ht="14.4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</row>
    <row r="350" spans="1:42" ht="14.4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</row>
    <row r="351" spans="1:42" ht="14.4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</row>
    <row r="352" spans="1:42" ht="14.4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</row>
    <row r="353" spans="1:42" ht="14.4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</row>
    <row r="354" spans="1:42" ht="14.4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</row>
    <row r="355" spans="1:42" ht="14.4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</row>
    <row r="356" spans="1:42" ht="14.4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</row>
    <row r="357" spans="1:42" ht="14.4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</row>
    <row r="358" spans="1:42" ht="14.4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</row>
    <row r="359" spans="1:42" ht="14.4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</row>
    <row r="360" spans="1:42" ht="14.4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</row>
    <row r="361" spans="1:42" ht="14.4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</row>
    <row r="362" spans="1:42" ht="14.4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</row>
    <row r="363" spans="1:42" ht="14.4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</row>
    <row r="364" spans="1:42" ht="14.4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</row>
    <row r="365" spans="1:42" ht="14.4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</row>
    <row r="366" spans="1:42" ht="14.4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</row>
    <row r="367" spans="1:42" ht="14.4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</row>
    <row r="368" spans="1:42" ht="14.4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</row>
    <row r="369" spans="1:42" ht="14.4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</row>
    <row r="370" spans="1:42" ht="14.4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</row>
    <row r="371" spans="1:42" ht="14.4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</row>
    <row r="372" spans="1:42" ht="14.4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</row>
    <row r="373" spans="1:42" ht="14.4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</row>
    <row r="374" spans="1:42" ht="14.4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</row>
    <row r="375" spans="1:42" ht="14.4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</row>
    <row r="376" spans="1:42" ht="14.4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</row>
    <row r="377" spans="1:42" ht="14.4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</row>
    <row r="378" spans="1:42" ht="14.4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 spans="1:42" ht="14.4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</row>
    <row r="380" spans="1:42" ht="14.4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</row>
    <row r="381" spans="1:42" ht="14.4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</row>
    <row r="382" spans="1:42" ht="14.4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</row>
    <row r="383" spans="1:42" ht="14.4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</row>
    <row r="384" spans="1:42" ht="14.4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</row>
    <row r="385" spans="1:42" ht="14.4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</row>
    <row r="386" spans="1:42" ht="14.4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</row>
    <row r="387" spans="1:42" ht="14.4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</row>
    <row r="388" spans="1:42" ht="14.4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</row>
    <row r="389" spans="1:42" ht="14.4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</row>
    <row r="390" spans="1:42" ht="14.4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</row>
    <row r="391" spans="1:42" ht="14.4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</row>
    <row r="392" spans="1:42" ht="14.4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</row>
    <row r="393" spans="1:42" ht="14.4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</row>
    <row r="394" spans="1:42" ht="14.4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</row>
    <row r="395" spans="1:42" ht="14.4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</row>
    <row r="396" spans="1:42" ht="14.4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</row>
    <row r="397" spans="1:42" ht="14.4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</row>
    <row r="398" spans="1:42" ht="14.4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</row>
    <row r="399" spans="1:42" ht="14.4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</row>
    <row r="400" spans="1:42" ht="14.4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</row>
    <row r="401" spans="1:42" ht="14.4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</row>
    <row r="402" spans="1:42" ht="14.4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</row>
    <row r="403" spans="1:42" ht="14.4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</row>
    <row r="404" spans="1:42" ht="14.4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</row>
    <row r="405" spans="1:42" ht="14.4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</row>
    <row r="406" spans="1:42" ht="14.4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</row>
    <row r="407" spans="1:42" ht="14.4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</row>
    <row r="408" spans="1:42" ht="14.4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</row>
    <row r="409" spans="1:42" ht="14.4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</row>
    <row r="410" spans="1:42" ht="14.4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</row>
    <row r="411" spans="1:42" ht="14.4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</row>
    <row r="412" spans="1:42" ht="14.4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</row>
    <row r="413" spans="1:42" ht="14.4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</row>
    <row r="414" spans="1:42" ht="14.4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</row>
    <row r="415" spans="1:42" ht="14.4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</row>
    <row r="416" spans="1:42" ht="14.4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</row>
    <row r="417" spans="1:42" ht="14.4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</row>
    <row r="418" spans="1:42" ht="14.4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</row>
    <row r="419" spans="1:42" ht="14.4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</row>
    <row r="420" spans="1:42" ht="14.4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</row>
    <row r="421" spans="1:42" ht="14.4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</row>
    <row r="422" spans="1:42" ht="14.4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</row>
    <row r="423" spans="1:42" ht="14.4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</row>
    <row r="424" spans="1:42" ht="14.4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</row>
    <row r="425" spans="1:42" ht="14.4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</row>
    <row r="426" spans="1:42" ht="14.4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</row>
    <row r="427" spans="1:42" ht="14.4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</row>
    <row r="428" spans="1:42" ht="14.4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</row>
    <row r="429" spans="1:42" ht="14.4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</row>
    <row r="430" spans="1:42" ht="14.4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 spans="1:42" ht="14.4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</row>
    <row r="432" spans="1:42" ht="14.4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</row>
    <row r="433" spans="1:42" ht="14.4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</row>
    <row r="434" spans="1:42" ht="14.4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</row>
    <row r="435" spans="1:42" ht="14.4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</row>
    <row r="436" spans="1:42" ht="14.4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</row>
    <row r="437" spans="1:42" ht="14.4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</row>
    <row r="438" spans="1:42" ht="14.4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</row>
    <row r="439" spans="1:42" ht="14.4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</row>
    <row r="440" spans="1:42" ht="14.4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</row>
    <row r="441" spans="1:42" ht="14.4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</row>
    <row r="442" spans="1:42" ht="14.4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</row>
    <row r="443" spans="1:42" ht="14.4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</row>
    <row r="444" spans="1:42" ht="14.4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</row>
    <row r="445" spans="1:42" ht="14.4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</row>
    <row r="446" spans="1:42" ht="14.4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</row>
    <row r="447" spans="1:42" ht="14.4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</row>
    <row r="448" spans="1:42" ht="14.4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</row>
    <row r="449" spans="1:42" ht="14.4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</row>
    <row r="450" spans="1:42" ht="14.4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</row>
    <row r="451" spans="1:42" ht="14.4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</row>
    <row r="452" spans="1:42" ht="14.4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</row>
    <row r="453" spans="1:42" ht="14.4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</row>
    <row r="454" spans="1:42" ht="14.4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</row>
    <row r="455" spans="1:42" ht="14.4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</row>
    <row r="456" spans="1:42" ht="14.4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</row>
    <row r="457" spans="1:42" ht="14.4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</row>
    <row r="458" spans="1:42" ht="14.4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</row>
    <row r="459" spans="1:42" ht="14.4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</row>
    <row r="460" spans="1:42" ht="14.4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</row>
    <row r="461" spans="1:42" ht="14.4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</row>
    <row r="462" spans="1:42" ht="14.4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</row>
    <row r="463" spans="1:42" ht="14.4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</row>
    <row r="464" spans="1:42" ht="14.4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</row>
    <row r="465" spans="1:42" ht="14.4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</row>
    <row r="466" spans="1:42" ht="14.4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</row>
    <row r="467" spans="1:42" ht="14.4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</row>
    <row r="468" spans="1:42" ht="14.4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</row>
    <row r="469" spans="1:42" ht="14.4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</row>
    <row r="470" spans="1:42" ht="14.4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</row>
    <row r="471" spans="1:42" ht="14.4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</row>
    <row r="472" spans="1:42" ht="14.4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</row>
    <row r="473" spans="1:42" ht="14.4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</row>
    <row r="474" spans="1:42" ht="14.4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</row>
    <row r="475" spans="1:42" ht="14.4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</row>
    <row r="476" spans="1:42" ht="14.4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 spans="1:42" ht="14.4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 spans="1:42" ht="14.4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</row>
    <row r="479" spans="1:42" ht="14.4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 spans="1:42" ht="14.4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 spans="1:42" ht="14.4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 spans="1:42" ht="14.4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 spans="1:42" ht="14.4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 spans="1:42" ht="14.4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</row>
    <row r="485" spans="1:42" ht="14.4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 spans="1:42" ht="14.4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 spans="1:42" ht="14.4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 spans="1:42" ht="14.4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 spans="1:42" ht="14.4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 spans="1:42" ht="14.4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 spans="1:42" ht="14.4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 spans="1:42" ht="14.4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 spans="1:42" ht="14.4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</row>
    <row r="494" spans="1:42" ht="14.4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</row>
    <row r="495" spans="1:42" ht="14.4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 spans="1:42" ht="14.4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</row>
    <row r="497" spans="1:42" ht="14.4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 spans="1:42" ht="14.4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</row>
    <row r="499" spans="1:42" ht="14.4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 spans="1:42" ht="14.4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 spans="1:42" ht="14.4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 spans="1:42" ht="14.4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 spans="1:42" ht="14.4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 spans="1:42" ht="14.4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</row>
    <row r="505" spans="1:42" ht="14.4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</row>
    <row r="506" spans="1:42" ht="14.4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 spans="1:42" ht="14.4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 spans="1:42" ht="14.4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 spans="1:42" ht="14.4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</row>
    <row r="510" spans="1:42" ht="14.4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 spans="1:42" ht="14.4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 spans="1:42" ht="14.4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 spans="1:42" ht="14.4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 spans="1:42" ht="14.4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 spans="1:42" ht="14.4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 spans="1:42" ht="14.4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 spans="1:42" ht="14.4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 spans="1:42" ht="14.4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 spans="1:42" ht="14.4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</row>
    <row r="520" spans="1:42" ht="14.4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 spans="1:42" ht="14.4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 spans="1:42" ht="14.4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</row>
    <row r="523" spans="1:42" ht="14.4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 spans="1:42" ht="14.4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 spans="1:42" ht="14.4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 spans="1:42" ht="14.4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</row>
    <row r="527" spans="1:42" ht="14.4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</row>
    <row r="528" spans="1:42" ht="14.4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</row>
    <row r="529" spans="1:42" ht="14.4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</row>
    <row r="530" spans="1:42" ht="14.4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</row>
    <row r="531" spans="1:42" ht="14.4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</row>
    <row r="532" spans="1:42" ht="14.4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 spans="1:42" ht="14.4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</row>
    <row r="534" spans="1:42" ht="14.4" customHeight="1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</row>
    <row r="535" spans="1:42" ht="14.4" customHeight="1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</row>
    <row r="536" spans="1:42" ht="14.4" customHeight="1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</row>
    <row r="537" spans="1:42" ht="14.4" customHeight="1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42" ht="14.4" customHeight="1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42" ht="14.4" customHeight="1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42" ht="14.4" customHeight="1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42" ht="14.4" customHeight="1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42" ht="14.4" customHeight="1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42" ht="14.4" customHeight="1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42" ht="14.4" customHeight="1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2:31" ht="14.4" customHeight="1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2:31" ht="14.4" customHeight="1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2:31" ht="14.4" customHeight="1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2:31" ht="14.4" customHeight="1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2:31" ht="14.4" customHeight="1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2:31" ht="14.4" customHeight="1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2:31" ht="14.4" customHeight="1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2:31" ht="14.4" customHeight="1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2:31" ht="14.4" customHeight="1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2:31" ht="14.4" customHeight="1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2:31" ht="14.4" customHeight="1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2:31" ht="14.4" customHeight="1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2:31" ht="14.4" customHeight="1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2:31" ht="14.4" customHeight="1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2:31" ht="14.4" customHeight="1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2:31" ht="14.4" customHeight="1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2:31" ht="14.4" customHeight="1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2:31" ht="14.4" customHeight="1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2:31" ht="14.4" customHeight="1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2:31" ht="14.4" customHeight="1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2:31" ht="14.4" customHeight="1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2:31" ht="14.4" customHeight="1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2:31" ht="14.4" customHeight="1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2:31" ht="14.4" customHeight="1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2:31" ht="14.4" customHeight="1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2:31" ht="14.4" customHeight="1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2:31" ht="14.4" customHeight="1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2:31" ht="14.4" customHeight="1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2:31" ht="14.4" customHeight="1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2:31" ht="14.4" customHeight="1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2:31" ht="14.4" customHeight="1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2:31" ht="14.4" customHeight="1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2:31" ht="14.4" customHeight="1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2:31" ht="14.4" customHeight="1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2:31" ht="14.4" customHeight="1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2:31" ht="14.4" customHeight="1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2:31" ht="14.4" customHeight="1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2:31" ht="14.4" customHeight="1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2:31" ht="14.4" customHeight="1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2:31" ht="14.4" customHeight="1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2:31" ht="14.4" customHeight="1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2:31" ht="14.4" customHeight="1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2:31" ht="14.4" customHeight="1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2:31" ht="14.4" customHeight="1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2:31" ht="14.4" customHeight="1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2:31" ht="14.4" customHeight="1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2:31" ht="14.4" customHeight="1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2:31" ht="14.4" customHeight="1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2:31" ht="14.4" customHeight="1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2:31" ht="14.4" customHeight="1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2:31" ht="14.4" customHeight="1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2:31" ht="14.4" customHeight="1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2:31" ht="14.4" customHeight="1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2:31" ht="14.4" customHeight="1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2:31" ht="14.4" customHeight="1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2:31" ht="14.4" customHeight="1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2:31" ht="14.4" customHeight="1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2:31" ht="14.4" customHeight="1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2:31" ht="14.4" customHeight="1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2:31" ht="14.4" customHeight="1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2:31" ht="14.4" customHeight="1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2:31" ht="14.4" customHeight="1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2:31" ht="14.4" customHeight="1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2:31" ht="14.4" customHeight="1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2:31" ht="14.4" customHeight="1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2:31" ht="14.4" customHeight="1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2:31" ht="14.4" customHeight="1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2:31" ht="14.4" customHeight="1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2:31" ht="14.4" customHeight="1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2:31" ht="14.4" customHeight="1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2:31" ht="14.4" customHeight="1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2:31" ht="14.4" customHeight="1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2:31" ht="14.4" customHeight="1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2:31" ht="14.4" customHeight="1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2:31" ht="14.4" customHeight="1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2:31" ht="14.4" customHeight="1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2:31" ht="14.4" customHeight="1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2:31" ht="14.4" customHeight="1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2:31" ht="14.4" customHeight="1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2:31" ht="14.4" customHeight="1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2:31" ht="14.4" customHeight="1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2:31" ht="14.4" customHeight="1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2:31" ht="14.4" customHeight="1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2:31" ht="14.4" customHeight="1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2:31" ht="14.4" customHeight="1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2:31" ht="14.4" customHeight="1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2:31" ht="14.4" customHeight="1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2:31" ht="14.4" customHeight="1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2:31" ht="14.4" customHeight="1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2:31" ht="14.4" customHeight="1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2:31" ht="14.4" customHeight="1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2:31" ht="14.4" customHeight="1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2:31" ht="14.4" customHeight="1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2:31" ht="14.4" customHeight="1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2:31" ht="14.4" customHeight="1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2:31" ht="14.4" customHeight="1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2:31" ht="14.4" customHeight="1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2:31" ht="14.4" customHeight="1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2:31" ht="14.4" customHeight="1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2:31" ht="14.4" customHeight="1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2:31" ht="14.4" customHeight="1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2:31" ht="14.4" customHeight="1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2:31" ht="14.4" customHeight="1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2:31" ht="14.4" customHeight="1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2:31" ht="14.4" customHeight="1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2:31" ht="14.4" customHeight="1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2:31" ht="14.4" customHeight="1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2:31" ht="14.4" customHeight="1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2:31" ht="14.4" customHeight="1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2:31" ht="14.4" customHeight="1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2:31" ht="14.4" customHeight="1"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2:31" ht="14.4" customHeight="1"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23:31" ht="14.4" customHeight="1"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23:31" ht="14.4" customHeight="1"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23:31" ht="14.4" customHeight="1"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23:31" ht="14.4" customHeight="1"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23:31" ht="14.4" customHeight="1"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23:31" ht="14.4" customHeight="1"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23:31" ht="14.4" customHeight="1"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23:31" ht="14.4" customHeight="1"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23:31" ht="14.4" customHeight="1"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23:31" ht="14.4" customHeight="1"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23:31" ht="14.4" customHeight="1"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23:31" ht="14.4" customHeight="1"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23:31" ht="14.4" customHeight="1"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23:31" ht="14.4" customHeight="1"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23:31" ht="14.4" customHeight="1"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23:31" ht="14.4" customHeight="1"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23:31" ht="14.4" customHeight="1"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23:31" ht="14.4" customHeight="1"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23:31" ht="14.4" customHeight="1"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23:31" ht="14.4" customHeight="1"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23:31" ht="14.4" customHeight="1"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23:31" ht="14.4" customHeight="1"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23:31" ht="14.4" customHeight="1"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23:31" ht="14.4" customHeight="1"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23:31" ht="14.4" customHeight="1"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23:31" ht="14.4" customHeight="1"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23:31" ht="14.4" customHeight="1"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23:31" ht="14.4" customHeight="1"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23:31" ht="14.4" customHeight="1"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23:31" ht="14.4" customHeight="1"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23:31" ht="14.4" customHeight="1"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23:31" ht="14.4" customHeight="1"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23:31" ht="14.4" customHeight="1"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23:31" ht="14.4" customHeight="1"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23:31" ht="14.4" customHeight="1"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23:31" ht="14.4" customHeight="1"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23:31" ht="14.4" customHeight="1"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23:31" ht="14.4" customHeight="1"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23:31" ht="14.4" customHeight="1"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23:31" ht="14.4" customHeight="1"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23:31" ht="14.4" customHeight="1"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23:31" ht="14.4" customHeight="1"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23:31" ht="14.4" customHeight="1"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23:31" ht="14.4" customHeight="1"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23:31" ht="14.4" customHeight="1"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23:31" ht="14.4" customHeight="1"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23:31" ht="14.4" customHeight="1"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23:31" ht="14.4" customHeight="1"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23:31" ht="14.4" customHeight="1"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23:31" ht="14.4" customHeight="1"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23:31" ht="14.4" customHeight="1"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23:31" ht="14.4" customHeight="1"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23:31" ht="14.4" customHeight="1"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23:31" ht="14.4" customHeight="1"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23:31" ht="14.4" customHeight="1"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23:31" ht="14.4" customHeight="1"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23:31" ht="14.4" customHeight="1"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23:31" ht="14.4" customHeight="1"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23:31" ht="14.4" customHeight="1"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23:31" ht="14.4" customHeight="1"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23:31" ht="14.4" customHeight="1"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23:31" ht="14.4" customHeight="1"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23:31" ht="14.4" customHeight="1"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23:31" ht="14.4" customHeight="1"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23:31" ht="14.4" customHeight="1"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23:31" ht="14.4" customHeight="1"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23:31" ht="14.4" customHeight="1"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23:31" ht="14.4" customHeight="1"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23:31" ht="14.4" customHeight="1"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23:31" ht="14.4" customHeight="1"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23:31" ht="14.4" customHeight="1"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23:31" ht="14.4" customHeight="1"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23:31" ht="14.4" customHeight="1"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23:31" ht="14.4" customHeight="1"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23:31" ht="14.4" customHeight="1"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23:31" ht="14.4" customHeight="1"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23:31" ht="14.4" customHeight="1"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23:31" ht="14.4" customHeight="1"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23:31" ht="14.4" customHeight="1"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23:31" ht="14.4" customHeight="1"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23:31" ht="14.4" customHeight="1"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23:31" ht="14.4" customHeight="1"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23:31" ht="14.4" customHeight="1"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23:31" ht="14.4" customHeight="1"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23:31" ht="14.4" customHeight="1"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23:31" ht="14.4" customHeight="1"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23:31" ht="14.4" customHeight="1"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23:31" ht="14.4" customHeight="1"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23:31" ht="14.4" customHeight="1"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23:31" ht="14.4" customHeight="1"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23:31" ht="14.4" customHeight="1"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23:31" ht="14.4" customHeight="1"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23:31" ht="14.4" customHeight="1"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23:31" ht="14.4" customHeight="1"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23:31" ht="14.4" customHeight="1"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23:31" ht="14.4" customHeight="1"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23:31" ht="14.4" customHeight="1"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23:31" ht="14.4" customHeight="1"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23:31" ht="14.4" customHeight="1"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23:31" ht="14.4" customHeight="1"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23:31" ht="14.4" customHeight="1"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23:31" ht="14.4" customHeight="1"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23:31" ht="14.4" customHeight="1"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23:31" ht="14.4" customHeight="1"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23:31" ht="14.4" customHeight="1"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23:31" ht="14.4" customHeight="1"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23:31" ht="14.4" customHeight="1"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23:31" ht="14.4" customHeight="1"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23:31" ht="14.4" customHeight="1"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23:31" ht="14.4" customHeight="1"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23:31" ht="14.4" customHeight="1"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23:31" ht="14.4" customHeight="1"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23:31" ht="14.4" customHeight="1"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23:31" ht="14.4" customHeight="1"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23:31" ht="14.4" customHeight="1"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23:31" ht="14.4" customHeight="1"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23:31" ht="14.4" customHeight="1"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23:31" ht="14.4" customHeight="1"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23:31" ht="14.4" customHeight="1"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23:31" ht="14.4" customHeight="1"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23:31" ht="14.4" customHeight="1"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23:31" ht="14.4" customHeight="1"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23:31" ht="14.4" customHeight="1"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23:31" ht="14.4" customHeight="1"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23:31" ht="14.4" customHeight="1"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23:31" ht="14.4" customHeight="1"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23:31" ht="14.4" customHeight="1"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23:31" ht="14.4" customHeight="1"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23:31" ht="14.4" customHeight="1"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23:31" ht="14.4" customHeight="1"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23:31" ht="14.4" customHeight="1"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23:31" ht="14.4" customHeight="1"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23:31" ht="14.4" customHeight="1"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23:31" ht="14.4" customHeight="1"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23:31" ht="14.4" customHeight="1"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23:31" ht="14.4" customHeight="1"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23:31" ht="14.4" customHeight="1"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23:31" ht="14.4" customHeight="1"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23:31" ht="14.4" customHeight="1"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23:31" ht="14.4" customHeight="1"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23:31" ht="14.4" customHeight="1"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23:31" ht="14.4" customHeight="1"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23:31" ht="14.4" customHeight="1"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23:31" ht="14.4" customHeight="1"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23:31" ht="14.4" customHeight="1"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23:31" ht="14.4" customHeight="1"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23:31" ht="14.4" customHeight="1"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23:31" ht="14.4" customHeight="1"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23:31" ht="14.4" customHeight="1"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23:31" ht="14.4" customHeight="1"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23:31" ht="14.4" customHeight="1"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23:31" ht="14.4" customHeight="1"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23:31" ht="14.4" customHeight="1"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23:31" ht="14.4" customHeight="1"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23:31" ht="14.4" customHeight="1"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23:31" ht="14.4" customHeight="1"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23:31" ht="14.4" customHeight="1"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23:31" ht="14.4" customHeight="1"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23:31" ht="14.4" customHeight="1"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23:31" ht="14.4" customHeight="1"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23:31" ht="14.4" customHeight="1"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23:31" ht="14.4" customHeight="1"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23:31" ht="14.4" customHeight="1"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23:31" ht="14.4" customHeight="1"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23:31" ht="14.4" customHeight="1"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23:31" ht="14.4" customHeight="1"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23:31" ht="14.4" customHeight="1"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23:31" ht="14.4" customHeight="1"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23:31" ht="14.4" customHeight="1"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23:31" ht="14.4" customHeight="1"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23:31" ht="14.4" customHeight="1"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23:31" ht="14.4" customHeight="1"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23:31" ht="14.4" customHeight="1"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23:31" ht="14.4" customHeight="1"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23:31" ht="14.4" customHeight="1"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23:31" ht="14.4" customHeight="1"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23:31" ht="14.4" customHeight="1"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23:31" ht="14.4" customHeight="1"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23:31" ht="14.4" customHeight="1"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23:31" ht="14.4" customHeight="1"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23:31" ht="14.4" customHeight="1"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23:31" ht="14.4" customHeight="1"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23:31" ht="14.4" customHeight="1"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23:31" ht="14.4" customHeight="1"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23:31" ht="14.4" customHeight="1"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23:31" ht="14.4" customHeight="1"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23:31" ht="14.4" customHeight="1"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23:31" ht="14.4" customHeight="1"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23:31" ht="14.4" customHeight="1"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23:31" ht="14.4" customHeight="1"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23:31" ht="14.4" customHeight="1"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23:31" ht="14.4" customHeight="1"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23:31" ht="14.4" customHeight="1"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23:31" ht="14.4" customHeight="1"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23:31" ht="14.4" customHeight="1"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23:31" ht="14.4" customHeight="1"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23:31" ht="14.4" customHeight="1"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23:31" ht="14.4" customHeight="1"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23:31" ht="14.4" customHeight="1"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23:31" ht="14.4" customHeight="1"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23:31" ht="14.4" customHeight="1"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23:31" ht="14.4" customHeight="1"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23:31" ht="14.4" customHeight="1"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23:31" ht="14.4" customHeight="1"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23:31" ht="14.4" customHeight="1"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23:31" ht="14.4" customHeight="1"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23:31" ht="14.4" customHeight="1"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23:31" ht="14.4" customHeight="1"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23:31" ht="14.4" customHeight="1"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23:31" ht="14.4" customHeight="1"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23:31" ht="14.4" customHeight="1">
      <c r="W867" s="25"/>
      <c r="X867" s="25"/>
      <c r="Y867" s="25"/>
      <c r="Z867" s="25"/>
      <c r="AA867" s="25"/>
      <c r="AB867" s="25"/>
      <c r="AC867" s="25"/>
      <c r="AD867" s="25"/>
      <c r="AE86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00"/>
  <sheetViews>
    <sheetView zoomScaleNormal="100" workbookViewId="0">
      <selection activeCell="O152" sqref="O152:P152"/>
    </sheetView>
  </sheetViews>
  <sheetFormatPr defaultColWidth="9.109375" defaultRowHeight="14.4"/>
  <cols>
    <col min="3" max="10" width="10.6640625" customWidth="1"/>
    <col min="11" max="11" width="1.5546875" customWidth="1"/>
    <col min="12" max="12" width="1" customWidth="1"/>
    <col min="17" max="17" width="11.21875" bestFit="1" customWidth="1"/>
  </cols>
  <sheetData>
    <row r="1" spans="1:28">
      <c r="A1" s="29"/>
      <c r="B1" s="29"/>
      <c r="C1" s="27"/>
      <c r="D1" s="27"/>
      <c r="E1" s="27"/>
      <c r="F1" s="27"/>
      <c r="G1" s="27"/>
      <c r="H1" s="27"/>
      <c r="I1" s="27"/>
      <c r="J1" s="29"/>
      <c r="K1" s="30"/>
      <c r="L1" s="30"/>
      <c r="M1" s="25"/>
      <c r="N1" s="46" t="s">
        <v>1</v>
      </c>
      <c r="O1" s="46" t="s">
        <v>82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>
      <c r="A2" s="1" t="s">
        <v>86</v>
      </c>
      <c r="K2" s="30"/>
      <c r="L2" s="30"/>
      <c r="M2" s="25"/>
      <c r="N2" s="25" t="s">
        <v>110</v>
      </c>
      <c r="O2" s="25" t="s">
        <v>111</v>
      </c>
      <c r="P2" s="25" t="s">
        <v>113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>
      <c r="K3" s="30"/>
      <c r="L3" s="30"/>
      <c r="M3" s="25"/>
      <c r="N3" s="25" t="s">
        <v>112</v>
      </c>
      <c r="O3" s="25" t="s">
        <v>116</v>
      </c>
      <c r="P3" s="25" t="s">
        <v>114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>
      <c r="K4" s="30"/>
      <c r="L4" s="30"/>
      <c r="M4" s="25"/>
      <c r="N4" s="25" t="s">
        <v>119</v>
      </c>
      <c r="O4" s="25" t="s">
        <v>117</v>
      </c>
      <c r="P4" s="25" t="s">
        <v>115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>
      <c r="K5" s="30"/>
      <c r="L5" s="30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4" customHeight="1">
      <c r="A6" s="29"/>
      <c r="B6" s="29"/>
      <c r="C6" s="27"/>
      <c r="D6" s="27"/>
      <c r="E6" s="27"/>
      <c r="F6" s="27"/>
      <c r="G6" s="27"/>
      <c r="H6" s="27"/>
      <c r="I6" s="27"/>
      <c r="J6" s="27"/>
      <c r="K6" s="30"/>
      <c r="L6" s="30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4" customHeight="1">
      <c r="A7" s="2"/>
      <c r="E7">
        <v>1</v>
      </c>
      <c r="F7">
        <v>2</v>
      </c>
      <c r="G7">
        <v>3</v>
      </c>
      <c r="H7">
        <v>4</v>
      </c>
      <c r="I7">
        <v>5</v>
      </c>
      <c r="J7" s="54"/>
      <c r="K7" s="31"/>
      <c r="L7" s="30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4" customHeight="1">
      <c r="A8" s="28" t="s">
        <v>99</v>
      </c>
      <c r="B8" s="27"/>
      <c r="C8" t="s">
        <v>1</v>
      </c>
      <c r="E8" s="47" t="s">
        <v>118</v>
      </c>
      <c r="F8" s="47" t="s">
        <v>111</v>
      </c>
      <c r="G8" s="47" t="s">
        <v>112</v>
      </c>
      <c r="H8" s="47" t="s">
        <v>119</v>
      </c>
      <c r="I8" s="48"/>
      <c r="J8" s="54"/>
      <c r="K8" s="31"/>
      <c r="L8" s="30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4" customHeight="1">
      <c r="C9" t="s">
        <v>2</v>
      </c>
      <c r="E9" s="112">
        <v>46050</v>
      </c>
      <c r="F9" s="112">
        <v>45960</v>
      </c>
      <c r="G9" s="55">
        <v>45981</v>
      </c>
      <c r="H9" s="49">
        <v>45968</v>
      </c>
      <c r="I9" s="49"/>
      <c r="J9" s="54"/>
      <c r="K9" s="31"/>
      <c r="L9" s="30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4" customHeight="1">
      <c r="C10" t="s">
        <v>21</v>
      </c>
      <c r="D10" s="10"/>
      <c r="E10" s="55">
        <v>46022</v>
      </c>
      <c r="F10" s="55">
        <v>45657</v>
      </c>
      <c r="G10" s="55">
        <v>45657</v>
      </c>
      <c r="H10" s="49">
        <v>45657</v>
      </c>
      <c r="I10" s="49"/>
      <c r="J10" s="54"/>
      <c r="K10" s="31"/>
      <c r="L10" s="30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4" customHeight="1">
      <c r="C11" t="s">
        <v>3</v>
      </c>
      <c r="E11" s="50">
        <v>417.32</v>
      </c>
      <c r="F11" s="50">
        <v>31.85</v>
      </c>
      <c r="G11" s="50">
        <v>4.8899999999999997</v>
      </c>
      <c r="H11" s="50">
        <v>14.69</v>
      </c>
      <c r="I11" s="50"/>
      <c r="J11" s="54"/>
      <c r="K11" s="31"/>
      <c r="L11" s="30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4" customHeight="1">
      <c r="C12" t="s">
        <v>85</v>
      </c>
      <c r="E12" s="55">
        <v>46063</v>
      </c>
      <c r="F12" s="55">
        <v>46063</v>
      </c>
      <c r="G12" s="55">
        <v>46063</v>
      </c>
      <c r="H12" s="113">
        <v>46063</v>
      </c>
      <c r="I12" s="50"/>
      <c r="J12" s="54"/>
      <c r="K12" s="31"/>
      <c r="L12" s="30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4" customHeight="1">
      <c r="E13" s="48"/>
      <c r="F13" s="48"/>
      <c r="G13" s="48"/>
      <c r="H13" s="48"/>
      <c r="I13" s="48"/>
      <c r="J13" s="54"/>
      <c r="K13" s="31"/>
      <c r="L13" s="30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4" customHeight="1">
      <c r="E14" s="10"/>
      <c r="F14" s="10"/>
      <c r="G14" s="10"/>
      <c r="H14" s="52"/>
      <c r="I14" s="52"/>
      <c r="J14" s="54"/>
      <c r="K14" s="31"/>
      <c r="L14" s="30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4" customHeight="1">
      <c r="A15" s="28" t="s">
        <v>98</v>
      </c>
      <c r="B15" s="27"/>
      <c r="C15" t="s">
        <v>4</v>
      </c>
      <c r="E15" s="74">
        <v>3330</v>
      </c>
      <c r="F15" s="74">
        <v>2911</v>
      </c>
      <c r="G15" s="74">
        <v>2100</v>
      </c>
      <c r="H15" s="74">
        <v>1220</v>
      </c>
      <c r="I15" s="49"/>
      <c r="J15" s="54"/>
      <c r="K15" s="31"/>
      <c r="L15" s="30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4" customHeight="1">
      <c r="C16" t="s">
        <v>5</v>
      </c>
      <c r="E16" s="74">
        <v>182</v>
      </c>
      <c r="F16" s="74">
        <v>45</v>
      </c>
      <c r="G16" s="74">
        <v>120</v>
      </c>
      <c r="H16" s="74">
        <v>85</v>
      </c>
      <c r="I16" s="49"/>
      <c r="J16" s="54"/>
      <c r="K16" s="31"/>
      <c r="L16" s="30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4" customHeight="1">
      <c r="C17" t="s">
        <v>6</v>
      </c>
      <c r="E17" s="74">
        <v>0</v>
      </c>
      <c r="F17" s="74">
        <v>0</v>
      </c>
      <c r="G17" s="74">
        <v>115</v>
      </c>
      <c r="H17" s="74">
        <v>32</v>
      </c>
      <c r="I17" s="49"/>
      <c r="J17" s="54"/>
      <c r="K17" s="31"/>
      <c r="L17" s="30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4" customHeight="1">
      <c r="C18" t="s">
        <v>7</v>
      </c>
      <c r="D18" s="84"/>
      <c r="E18" s="115">
        <v>0</v>
      </c>
      <c r="F18" s="74">
        <v>0</v>
      </c>
      <c r="G18" s="74">
        <v>0</v>
      </c>
      <c r="H18" s="74">
        <v>0</v>
      </c>
      <c r="I18" s="49"/>
      <c r="J18" s="54"/>
      <c r="K18" s="31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4" customHeight="1">
      <c r="C19" s="2" t="s">
        <v>8</v>
      </c>
      <c r="D19" s="83"/>
      <c r="E19" s="56">
        <f>SUM(E15:E18)</f>
        <v>3512</v>
      </c>
      <c r="F19" s="56">
        <f t="shared" ref="F19:H19" si="0">SUM(F15:F18)</f>
        <v>2956</v>
      </c>
      <c r="G19" s="56">
        <f t="shared" si="0"/>
        <v>2335</v>
      </c>
      <c r="H19" s="56">
        <f t="shared" si="0"/>
        <v>1337</v>
      </c>
      <c r="I19" s="51"/>
      <c r="J19" s="54"/>
      <c r="K19" s="31"/>
      <c r="L19" s="30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4" customHeight="1">
      <c r="C20" s="2"/>
      <c r="E20" s="51"/>
      <c r="F20" s="51"/>
      <c r="G20" s="51"/>
      <c r="H20" s="51"/>
      <c r="I20" s="51"/>
      <c r="J20" s="76"/>
      <c r="K20" s="31"/>
      <c r="L20" s="30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4" customHeight="1">
      <c r="C21" s="2"/>
      <c r="E21" s="51"/>
      <c r="F21" s="51"/>
      <c r="G21" s="51"/>
      <c r="H21" s="51"/>
      <c r="I21" s="51"/>
      <c r="J21" s="54"/>
      <c r="K21" s="31"/>
      <c r="L21" s="30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4" customHeight="1">
      <c r="J22" s="54"/>
      <c r="K22" s="31"/>
      <c r="L22" s="30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4" customHeight="1">
      <c r="A23" s="82" t="s">
        <v>100</v>
      </c>
      <c r="B23" s="57"/>
      <c r="C23" s="58"/>
      <c r="D23" s="57"/>
      <c r="E23" s="57"/>
      <c r="F23" s="59"/>
      <c r="G23" s="60"/>
      <c r="H23" s="57"/>
      <c r="I23" s="57"/>
      <c r="J23" s="54"/>
      <c r="K23" s="31"/>
      <c r="L23" s="30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4" customHeight="1">
      <c r="A24" s="2"/>
      <c r="C24" s="48"/>
      <c r="D24" s="73"/>
      <c r="E24" s="53" t="str">
        <f>E$8</f>
        <v>Tesla</v>
      </c>
      <c r="F24" s="53" t="str">
        <f>F$8</f>
        <v>BYD</v>
      </c>
      <c r="G24" s="53" t="str">
        <f>G$8</f>
        <v>NIO</v>
      </c>
      <c r="H24" s="53" t="str">
        <f>H$8</f>
        <v>RIVN</v>
      </c>
      <c r="I24" s="53">
        <f>I$8</f>
        <v>0</v>
      </c>
      <c r="J24" s="68"/>
      <c r="K24" s="31"/>
      <c r="L24" s="3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4" customHeight="1">
      <c r="A25" s="59" t="s">
        <v>9</v>
      </c>
      <c r="B25" s="57"/>
      <c r="C25" t="s">
        <v>10</v>
      </c>
      <c r="E25" s="74">
        <v>94830</v>
      </c>
      <c r="F25" s="74">
        <v>107130</v>
      </c>
      <c r="G25" s="74">
        <v>9005</v>
      </c>
      <c r="H25" s="74">
        <v>4970</v>
      </c>
      <c r="I25" s="69"/>
      <c r="J25" s="68"/>
      <c r="K25" s="31"/>
      <c r="L25" s="30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4" customHeight="1">
      <c r="C26" t="s">
        <v>90</v>
      </c>
      <c r="E26" s="74">
        <v>77730</v>
      </c>
      <c r="F26" s="74">
        <v>86340</v>
      </c>
      <c r="G26" s="74">
        <v>8116</v>
      </c>
      <c r="H26" s="74">
        <v>6170</v>
      </c>
      <c r="I26" s="70"/>
      <c r="J26" s="68"/>
      <c r="K26" s="31"/>
      <c r="L26" s="3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4" customHeight="1">
      <c r="C27" t="s">
        <v>83</v>
      </c>
      <c r="E27" s="74">
        <f>E25-E26</f>
        <v>17100</v>
      </c>
      <c r="F27" s="74">
        <f t="shared" ref="F27:G27" si="1">F25-F26</f>
        <v>20790</v>
      </c>
      <c r="G27" s="74">
        <f t="shared" si="1"/>
        <v>889</v>
      </c>
      <c r="H27" s="74">
        <f t="shared" ref="H27" si="2">H25-H26</f>
        <v>-1200</v>
      </c>
      <c r="I27" s="71"/>
      <c r="J27" s="68"/>
      <c r="K27" s="31"/>
      <c r="L27" s="3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4" customHeight="1">
      <c r="C28" t="s">
        <v>91</v>
      </c>
      <c r="E28" s="74">
        <v>12740</v>
      </c>
      <c r="F28" s="74">
        <v>13820</v>
      </c>
      <c r="G28" s="74">
        <v>3889</v>
      </c>
      <c r="H28" s="74">
        <v>3489</v>
      </c>
      <c r="I28" s="69"/>
      <c r="J28" s="68"/>
      <c r="K28" s="31"/>
      <c r="L28" s="30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4" customHeight="1">
      <c r="C29" t="s">
        <v>92</v>
      </c>
      <c r="E29" s="74">
        <v>0</v>
      </c>
      <c r="F29" s="74">
        <v>0</v>
      </c>
      <c r="G29" s="74">
        <v>0</v>
      </c>
      <c r="H29" s="74">
        <v>0</v>
      </c>
      <c r="I29" s="70"/>
      <c r="J29" s="68"/>
      <c r="K29" s="31"/>
      <c r="L29" s="30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4" customHeight="1">
      <c r="C30" s="2" t="s">
        <v>11</v>
      </c>
      <c r="D30" s="2"/>
      <c r="E30" s="75">
        <f>E27-E28-E29</f>
        <v>4360</v>
      </c>
      <c r="F30" s="75">
        <f t="shared" ref="F30:G30" si="3">F27-F28-F29</f>
        <v>6970</v>
      </c>
      <c r="G30" s="75">
        <f t="shared" si="3"/>
        <v>-3000</v>
      </c>
      <c r="H30" s="75">
        <f t="shared" ref="H30" si="4">H27-H28-H29</f>
        <v>-4689</v>
      </c>
      <c r="I30" s="72"/>
      <c r="J30" s="68"/>
      <c r="K30" s="31"/>
      <c r="L30" s="30"/>
      <c r="M30" s="25"/>
      <c r="N30" s="44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4" customHeight="1">
      <c r="C31" t="s">
        <v>93</v>
      </c>
      <c r="E31" s="74">
        <v>-450</v>
      </c>
      <c r="F31" s="74">
        <v>-520</v>
      </c>
      <c r="G31" s="74">
        <v>-180</v>
      </c>
      <c r="H31" s="74">
        <v>-110</v>
      </c>
      <c r="I31" s="69"/>
      <c r="J31" s="68"/>
      <c r="K31" s="31"/>
      <c r="L31" s="3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4" customHeight="1">
      <c r="C32" t="s">
        <v>94</v>
      </c>
      <c r="E32" s="74">
        <v>1373</v>
      </c>
      <c r="F32" s="74">
        <v>120</v>
      </c>
      <c r="G32" s="74">
        <v>110</v>
      </c>
      <c r="H32" s="74">
        <v>58</v>
      </c>
      <c r="I32" s="70"/>
      <c r="J32" s="86"/>
      <c r="K32" s="31"/>
      <c r="L32" s="30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4" customHeight="1">
      <c r="C33" t="s">
        <v>95</v>
      </c>
      <c r="E33" s="74">
        <v>0</v>
      </c>
      <c r="F33" s="74">
        <v>0</v>
      </c>
      <c r="G33" s="74">
        <v>0</v>
      </c>
      <c r="H33" s="74">
        <v>0</v>
      </c>
      <c r="I33" s="70"/>
      <c r="J33" s="68"/>
      <c r="K33" s="31"/>
      <c r="L33" s="3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4" customHeight="1">
      <c r="C34" s="2" t="s">
        <v>31</v>
      </c>
      <c r="E34" s="75">
        <f>SUM(E30:E33)</f>
        <v>5283</v>
      </c>
      <c r="F34" s="75">
        <f t="shared" ref="F34:G34" si="5">SUM(F30:F33)</f>
        <v>6570</v>
      </c>
      <c r="G34" s="75">
        <f t="shared" si="5"/>
        <v>-3070</v>
      </c>
      <c r="H34" s="75">
        <f t="shared" ref="H34" si="6">SUM(H30:H33)</f>
        <v>-4741</v>
      </c>
      <c r="I34" s="75"/>
      <c r="J34" s="68"/>
      <c r="K34" s="31"/>
      <c r="L34" s="30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4" customHeight="1">
      <c r="C35" t="s">
        <v>96</v>
      </c>
      <c r="E35" s="74">
        <v>-1433</v>
      </c>
      <c r="F35" s="74">
        <v>-1010</v>
      </c>
      <c r="G35" s="74">
        <v>30</v>
      </c>
      <c r="H35" s="74">
        <v>-9</v>
      </c>
      <c r="I35" s="69"/>
      <c r="J35" s="68"/>
      <c r="K35" s="31"/>
      <c r="L35" s="30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4" customHeight="1">
      <c r="C36" t="s">
        <v>84</v>
      </c>
      <c r="E36" s="74">
        <f>SUM(E34:E35)</f>
        <v>3850</v>
      </c>
      <c r="F36" s="74">
        <f t="shared" ref="F36:H36" si="7">SUM(F34:F35)</f>
        <v>5560</v>
      </c>
      <c r="G36" s="74">
        <f t="shared" si="7"/>
        <v>-3040</v>
      </c>
      <c r="H36" s="74">
        <f t="shared" si="7"/>
        <v>-4750</v>
      </c>
      <c r="I36" s="71"/>
      <c r="J36" s="68"/>
      <c r="K36" s="31"/>
      <c r="L36" s="30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4" customHeight="1">
      <c r="C37" s="2" t="s">
        <v>34</v>
      </c>
      <c r="E37" s="77">
        <v>1.08</v>
      </c>
      <c r="F37" s="77">
        <v>1.88</v>
      </c>
      <c r="G37" s="77">
        <v>-1.51</v>
      </c>
      <c r="H37" s="77">
        <v>-4.6900000000000004</v>
      </c>
      <c r="I37" s="77"/>
      <c r="J37" s="68"/>
      <c r="K37" s="31"/>
      <c r="L37" s="30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4" customHeight="1">
      <c r="C38" s="2"/>
      <c r="E38" s="48"/>
      <c r="F38" s="48"/>
      <c r="G38" s="48"/>
      <c r="H38" s="48"/>
      <c r="I38" s="48"/>
      <c r="J38" s="68"/>
      <c r="K38" s="31"/>
      <c r="L38" s="30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4" customHeight="1">
      <c r="C39" s="61" t="s">
        <v>97</v>
      </c>
      <c r="E39" s="74">
        <v>-6140</v>
      </c>
      <c r="F39" s="74">
        <v>-8120</v>
      </c>
      <c r="G39" s="74">
        <v>-1060</v>
      </c>
      <c r="H39" s="128">
        <v>-1031</v>
      </c>
      <c r="I39" s="74"/>
      <c r="J39" s="68"/>
      <c r="K39" s="31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4" customHeight="1">
      <c r="C40" s="2" t="s">
        <v>12</v>
      </c>
      <c r="E40" s="75">
        <f>E30-E39</f>
        <v>10500</v>
      </c>
      <c r="F40" s="75">
        <f>F30-F39</f>
        <v>15090</v>
      </c>
      <c r="G40" s="75">
        <f>G30-G39</f>
        <v>-1940</v>
      </c>
      <c r="H40" s="75">
        <f>H30-H39</f>
        <v>-3658</v>
      </c>
      <c r="I40" s="75"/>
      <c r="J40" s="68"/>
      <c r="K40" s="31"/>
      <c r="L40" s="30"/>
      <c r="M40" s="25"/>
      <c r="N40" s="44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4" customHeight="1">
      <c r="E41" s="78"/>
      <c r="F41" s="78"/>
      <c r="G41" s="78"/>
      <c r="H41" s="78"/>
      <c r="I41" s="78"/>
      <c r="J41" s="68"/>
      <c r="K41" s="31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4" customHeight="1">
      <c r="E42" s="53" t="str">
        <f>E$8</f>
        <v>Tesla</v>
      </c>
      <c r="F42" s="53" t="str">
        <f>F$8</f>
        <v>BYD</v>
      </c>
      <c r="G42" s="53" t="str">
        <f>G$8</f>
        <v>NIO</v>
      </c>
      <c r="H42" s="53" t="str">
        <f>H$8</f>
        <v>RIVN</v>
      </c>
      <c r="I42" s="120">
        <f>I$8</f>
        <v>0</v>
      </c>
      <c r="J42" s="54"/>
      <c r="K42" s="31"/>
      <c r="L42" s="30"/>
      <c r="M42" s="25"/>
      <c r="N42" s="44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4" customHeight="1">
      <c r="A43" s="59" t="s">
        <v>13</v>
      </c>
      <c r="B43" s="57"/>
      <c r="C43" t="s">
        <v>10</v>
      </c>
      <c r="E43" s="126">
        <v>24901</v>
      </c>
      <c r="F43" s="126">
        <v>28250</v>
      </c>
      <c r="G43" s="126">
        <v>3410</v>
      </c>
      <c r="H43" s="126">
        <v>1315</v>
      </c>
      <c r="I43" s="115"/>
      <c r="J43" s="68"/>
      <c r="K43" s="31"/>
      <c r="L43" s="30"/>
      <c r="M43" s="25"/>
      <c r="N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4" customHeight="1">
      <c r="C44" t="s">
        <v>90</v>
      </c>
      <c r="E44" s="126">
        <v>20418</v>
      </c>
      <c r="F44" s="126">
        <v>22317</v>
      </c>
      <c r="G44" s="126">
        <v>2932</v>
      </c>
      <c r="H44" s="126">
        <v>1420</v>
      </c>
      <c r="I44" s="115"/>
      <c r="J44" s="68"/>
      <c r="K44" s="31"/>
      <c r="L44" s="30"/>
      <c r="M44" s="25"/>
      <c r="N44" s="25"/>
      <c r="O44" s="6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4" customHeight="1">
      <c r="C45" t="s">
        <v>83</v>
      </c>
      <c r="E45" s="74">
        <f>E43-E44</f>
        <v>4483</v>
      </c>
      <c r="F45" s="74">
        <f t="shared" ref="F45:H45" si="8">F43-F44</f>
        <v>5933</v>
      </c>
      <c r="G45" s="74">
        <f t="shared" si="8"/>
        <v>478</v>
      </c>
      <c r="H45" s="74">
        <f t="shared" si="8"/>
        <v>-105</v>
      </c>
      <c r="I45" s="115"/>
      <c r="J45" s="68"/>
      <c r="K45" s="31"/>
      <c r="L45" s="30"/>
      <c r="M45" s="25"/>
      <c r="N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4" customHeight="1">
      <c r="C46" t="s">
        <v>91</v>
      </c>
      <c r="E46" s="126">
        <v>3420</v>
      </c>
      <c r="F46" s="126">
        <v>3610</v>
      </c>
      <c r="G46" s="126">
        <v>1020</v>
      </c>
      <c r="H46" s="126">
        <v>895</v>
      </c>
      <c r="I46" s="115"/>
      <c r="J46" s="68"/>
      <c r="K46" s="31"/>
      <c r="L46" s="30"/>
      <c r="M46" s="25"/>
      <c r="N46" s="25"/>
      <c r="O46" s="6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4" customHeight="1">
      <c r="C47" t="s">
        <v>92</v>
      </c>
      <c r="E47" s="126">
        <v>0</v>
      </c>
      <c r="F47" s="126">
        <v>0</v>
      </c>
      <c r="G47" s="126">
        <v>0</v>
      </c>
      <c r="H47" s="126">
        <v>0</v>
      </c>
      <c r="I47" s="115"/>
      <c r="J47" s="68"/>
      <c r="K47" s="31"/>
      <c r="L47" s="30"/>
      <c r="M47" s="25"/>
      <c r="N47" s="25"/>
      <c r="O47" s="6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4" customHeight="1">
      <c r="C48" s="2" t="s">
        <v>11</v>
      </c>
      <c r="D48" s="2"/>
      <c r="E48" s="75">
        <f>E45-E46-E47</f>
        <v>1063</v>
      </c>
      <c r="F48" s="75">
        <f t="shared" ref="F48:H48" si="9">F45-F46-F47</f>
        <v>2323</v>
      </c>
      <c r="G48" s="75">
        <f t="shared" si="9"/>
        <v>-542</v>
      </c>
      <c r="H48" s="75">
        <f t="shared" si="9"/>
        <v>-1000</v>
      </c>
      <c r="I48" s="121"/>
      <c r="J48" s="68"/>
      <c r="K48" s="31"/>
      <c r="L48" s="30"/>
      <c r="M48" s="25"/>
      <c r="N48" s="25"/>
      <c r="O48" s="2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4" customHeight="1">
      <c r="C49" t="s">
        <v>93</v>
      </c>
      <c r="E49" s="126">
        <v>-110</v>
      </c>
      <c r="F49" s="126">
        <v>-135</v>
      </c>
      <c r="G49" s="126">
        <v>-45</v>
      </c>
      <c r="H49" s="126">
        <v>-28</v>
      </c>
      <c r="I49" s="115"/>
      <c r="J49" s="68"/>
      <c r="K49" s="31"/>
      <c r="L49" s="30"/>
      <c r="M49" s="25"/>
      <c r="N49" s="25"/>
      <c r="O49" s="6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4" customHeight="1">
      <c r="C50" t="s">
        <v>94</v>
      </c>
      <c r="E50" s="126">
        <v>345</v>
      </c>
      <c r="F50" s="126">
        <v>30</v>
      </c>
      <c r="G50" s="126">
        <v>28</v>
      </c>
      <c r="H50" s="126">
        <v>15</v>
      </c>
      <c r="I50" s="115"/>
      <c r="J50" s="68"/>
      <c r="K50" s="31"/>
      <c r="L50" s="30"/>
      <c r="M50" s="25"/>
      <c r="N50" s="25"/>
      <c r="O50" s="6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4" customHeight="1">
      <c r="C51" t="s">
        <v>95</v>
      </c>
      <c r="E51" s="126">
        <v>0</v>
      </c>
      <c r="F51" s="126">
        <v>0</v>
      </c>
      <c r="G51" s="126">
        <v>0</v>
      </c>
      <c r="H51" s="126">
        <v>0</v>
      </c>
      <c r="I51" s="115"/>
      <c r="J51" s="68"/>
      <c r="K51" s="31"/>
      <c r="L51" s="30"/>
      <c r="M51" s="25"/>
      <c r="N51" s="25"/>
      <c r="O51" s="6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4" customHeight="1">
      <c r="C52" s="2" t="s">
        <v>31</v>
      </c>
      <c r="E52" s="75">
        <f>SUM(E48:E51)</f>
        <v>1298</v>
      </c>
      <c r="F52" s="75">
        <f t="shared" ref="F52:H52" si="10">SUM(F48:F51)</f>
        <v>2218</v>
      </c>
      <c r="G52" s="75">
        <f t="shared" si="10"/>
        <v>-559</v>
      </c>
      <c r="H52" s="75">
        <f t="shared" si="10"/>
        <v>-1013</v>
      </c>
      <c r="I52" s="121"/>
      <c r="J52" s="68"/>
      <c r="K52" s="31"/>
      <c r="L52" s="30"/>
      <c r="M52" s="25"/>
      <c r="N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4" customHeight="1">
      <c r="C53" t="s">
        <v>96</v>
      </c>
      <c r="E53" s="126">
        <v>-458</v>
      </c>
      <c r="F53" s="126">
        <v>-340</v>
      </c>
      <c r="G53" s="126">
        <v>8</v>
      </c>
      <c r="H53" s="126">
        <v>-3</v>
      </c>
      <c r="I53" s="115"/>
      <c r="J53" s="68"/>
      <c r="K53" s="31"/>
      <c r="L53" s="30"/>
      <c r="M53" s="25"/>
      <c r="N53" s="25"/>
      <c r="O53" s="6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4" customHeight="1">
      <c r="C54" t="s">
        <v>84</v>
      </c>
      <c r="E54" s="74">
        <f>SUM(E52:E53)</f>
        <v>840</v>
      </c>
      <c r="F54" s="74">
        <f t="shared" ref="F54:H54" si="11">SUM(F52:F53)</f>
        <v>1878</v>
      </c>
      <c r="G54" s="74">
        <f t="shared" si="11"/>
        <v>-551</v>
      </c>
      <c r="H54" s="74">
        <f t="shared" si="11"/>
        <v>-1016</v>
      </c>
      <c r="I54" s="115"/>
      <c r="J54" s="68"/>
      <c r="K54" s="31"/>
      <c r="L54" s="30"/>
      <c r="M54" s="25"/>
      <c r="N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4" customHeight="1">
      <c r="C55" s="2" t="s">
        <v>34</v>
      </c>
      <c r="E55" s="127">
        <v>0.24</v>
      </c>
      <c r="F55" s="127">
        <v>0.64</v>
      </c>
      <c r="G55" s="127">
        <v>-0.23</v>
      </c>
      <c r="H55" s="127">
        <v>-0.8</v>
      </c>
      <c r="I55" s="122"/>
      <c r="J55" s="68"/>
      <c r="K55" s="31"/>
      <c r="L55" s="30"/>
      <c r="M55" s="25"/>
      <c r="N55" s="25"/>
      <c r="O55" s="2" t="s">
        <v>100</v>
      </c>
      <c r="P55" s="25" t="s">
        <v>1</v>
      </c>
      <c r="Q55" s="25" t="s">
        <v>118</v>
      </c>
      <c r="R55" s="25" t="s">
        <v>111</v>
      </c>
      <c r="S55" s="25" t="s">
        <v>112</v>
      </c>
      <c r="T55" s="25" t="s">
        <v>119</v>
      </c>
      <c r="U55" s="25"/>
      <c r="V55" s="25"/>
      <c r="W55" s="25"/>
      <c r="X55" s="25"/>
      <c r="Y55" s="25"/>
      <c r="Z55" s="25"/>
      <c r="AA55" s="25"/>
      <c r="AB55" s="25"/>
    </row>
    <row r="56" spans="1:28" ht="14.4" customHeight="1">
      <c r="C56" s="2"/>
      <c r="E56" s="74"/>
      <c r="F56" s="74"/>
      <c r="G56" s="74"/>
      <c r="H56" s="74"/>
      <c r="I56" s="123"/>
      <c r="J56" s="68"/>
      <c r="K56" s="31"/>
      <c r="L56" s="30"/>
      <c r="M56" s="25"/>
      <c r="N56" s="25"/>
      <c r="O56" s="25" t="s">
        <v>126</v>
      </c>
      <c r="P56" s="25" t="s">
        <v>10</v>
      </c>
      <c r="Q56" s="116">
        <v>25182</v>
      </c>
      <c r="R56" s="116">
        <v>28200</v>
      </c>
      <c r="S56" s="116">
        <v>2600</v>
      </c>
      <c r="T56" s="116">
        <v>1337</v>
      </c>
      <c r="U56" s="25"/>
      <c r="V56" s="25"/>
      <c r="W56" s="25"/>
      <c r="X56" s="25"/>
      <c r="Y56" s="25"/>
      <c r="Z56" s="25"/>
      <c r="AA56" s="25"/>
      <c r="AB56" s="25"/>
    </row>
    <row r="57" spans="1:28" ht="14.4" customHeight="1">
      <c r="C57" s="61" t="s">
        <v>97</v>
      </c>
      <c r="E57" s="126">
        <v>-1535</v>
      </c>
      <c r="F57" s="126">
        <v>-2030</v>
      </c>
      <c r="G57" s="126">
        <v>-265</v>
      </c>
      <c r="H57" s="126">
        <v>-258</v>
      </c>
      <c r="I57" s="124"/>
      <c r="J57" s="68"/>
      <c r="K57" s="31"/>
      <c r="L57" s="30"/>
      <c r="M57" s="25"/>
      <c r="N57" s="25"/>
      <c r="O57" s="25" t="s">
        <v>90</v>
      </c>
      <c r="P57" s="117">
        <v>20200</v>
      </c>
      <c r="Q57" s="117">
        <v>22100</v>
      </c>
      <c r="R57" s="117">
        <v>2320</v>
      </c>
      <c r="S57" s="117">
        <v>1750</v>
      </c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4" customHeight="1">
      <c r="C58" s="2" t="s">
        <v>12</v>
      </c>
      <c r="E58" s="126">
        <v>2598</v>
      </c>
      <c r="F58" s="126">
        <v>4353</v>
      </c>
      <c r="G58" s="126">
        <v>-277</v>
      </c>
      <c r="H58" s="126">
        <v>-742</v>
      </c>
      <c r="I58" s="125"/>
      <c r="J58" s="68"/>
      <c r="K58" s="31"/>
      <c r="L58" s="30"/>
      <c r="M58" s="25"/>
      <c r="N58" s="25"/>
      <c r="O58" s="25" t="s">
        <v>107</v>
      </c>
      <c r="P58" s="117">
        <v>4982</v>
      </c>
      <c r="Q58" s="117">
        <v>6100</v>
      </c>
      <c r="R58" s="25">
        <v>280</v>
      </c>
      <c r="S58" s="25">
        <v>-413</v>
      </c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4" customHeight="1">
      <c r="J59" s="54"/>
      <c r="K59" s="31"/>
      <c r="L59" s="30"/>
      <c r="M59" s="25"/>
      <c r="N59" s="25"/>
      <c r="O59" s="25" t="s">
        <v>120</v>
      </c>
      <c r="P59" s="117">
        <v>3120</v>
      </c>
      <c r="Q59" s="117">
        <v>3450</v>
      </c>
      <c r="R59" s="117">
        <v>950</v>
      </c>
      <c r="S59" s="25">
        <v>850</v>
      </c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4" customHeight="1">
      <c r="E60" s="53" t="str">
        <f>E$8</f>
        <v>Tesla</v>
      </c>
      <c r="F60" s="53" t="str">
        <f>F$8</f>
        <v>BYD</v>
      </c>
      <c r="G60" s="53" t="str">
        <f>G$8</f>
        <v>NIO</v>
      </c>
      <c r="H60" s="53" t="str">
        <f>H$8</f>
        <v>RIVN</v>
      </c>
      <c r="I60" s="53">
        <f>I$8</f>
        <v>0</v>
      </c>
      <c r="J60" s="54"/>
      <c r="K60" s="31"/>
      <c r="L60" s="30"/>
      <c r="M60" s="25"/>
      <c r="N60" s="25"/>
      <c r="O60" s="25" t="s">
        <v>92</v>
      </c>
      <c r="P60" s="25">
        <v>0</v>
      </c>
      <c r="Q60" s="25">
        <v>0</v>
      </c>
      <c r="R60" s="25">
        <v>0</v>
      </c>
      <c r="S60" s="25">
        <v>0</v>
      </c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4" customHeight="1">
      <c r="A61" s="59" t="s">
        <v>101</v>
      </c>
      <c r="B61" s="57"/>
      <c r="C61" t="s">
        <v>10</v>
      </c>
      <c r="E61" s="129">
        <v>25182</v>
      </c>
      <c r="F61" s="129">
        <v>28200</v>
      </c>
      <c r="G61" s="129">
        <v>2600</v>
      </c>
      <c r="H61" s="129">
        <v>1337</v>
      </c>
      <c r="I61" s="76"/>
      <c r="J61" s="54"/>
      <c r="K61" s="31"/>
      <c r="L61" s="30"/>
      <c r="M61" s="25"/>
      <c r="N61" s="25"/>
      <c r="O61" s="25" t="s">
        <v>11</v>
      </c>
      <c r="P61" s="117">
        <v>1862</v>
      </c>
      <c r="Q61" s="117">
        <v>2650</v>
      </c>
      <c r="R61" s="25">
        <v>-670</v>
      </c>
      <c r="S61" s="117">
        <v>-1263</v>
      </c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4" customHeight="1">
      <c r="C62" t="s">
        <v>90</v>
      </c>
      <c r="E62" s="126">
        <v>20200</v>
      </c>
      <c r="F62" s="126">
        <v>22100</v>
      </c>
      <c r="G62" s="126">
        <v>2320</v>
      </c>
      <c r="H62" s="126">
        <v>1750</v>
      </c>
      <c r="I62" s="76"/>
      <c r="J62" s="54"/>
      <c r="K62" s="31"/>
      <c r="L62" s="30"/>
      <c r="M62" s="25"/>
      <c r="N62" s="25"/>
      <c r="O62" s="25" t="s">
        <v>121</v>
      </c>
      <c r="P62" s="25">
        <v>-115</v>
      </c>
      <c r="Q62" s="25">
        <v>-140</v>
      </c>
      <c r="R62" s="25">
        <v>-50</v>
      </c>
      <c r="S62" s="25">
        <v>-30</v>
      </c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4" customHeight="1">
      <c r="C63" t="s">
        <v>83</v>
      </c>
      <c r="E63" s="74">
        <f t="shared" ref="E63:H63" si="12">E61-E62</f>
        <v>4982</v>
      </c>
      <c r="F63" s="74">
        <f t="shared" si="12"/>
        <v>6100</v>
      </c>
      <c r="G63" s="74">
        <f t="shared" si="12"/>
        <v>280</v>
      </c>
      <c r="H63" s="74">
        <f t="shared" si="12"/>
        <v>-413</v>
      </c>
      <c r="I63" s="76"/>
      <c r="J63" s="54"/>
      <c r="K63" s="31"/>
      <c r="L63" s="30"/>
      <c r="M63" s="25"/>
      <c r="N63" s="25"/>
      <c r="O63" s="25" t="s">
        <v>122</v>
      </c>
      <c r="P63" s="25">
        <v>430</v>
      </c>
      <c r="Q63" s="25">
        <v>35</v>
      </c>
      <c r="R63" s="25">
        <v>20</v>
      </c>
      <c r="S63" s="25">
        <v>18</v>
      </c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4" customHeight="1">
      <c r="C64" t="s">
        <v>91</v>
      </c>
      <c r="E64" s="126">
        <v>3120</v>
      </c>
      <c r="F64" s="126">
        <v>3450</v>
      </c>
      <c r="G64" s="126">
        <v>950</v>
      </c>
      <c r="H64" s="84">
        <v>850</v>
      </c>
      <c r="I64" s="76"/>
      <c r="J64" s="54"/>
      <c r="K64" s="31"/>
      <c r="L64" s="30"/>
      <c r="M64" s="25"/>
      <c r="N64" s="25"/>
      <c r="O64" s="25" t="s">
        <v>123</v>
      </c>
      <c r="P64" s="25">
        <v>0</v>
      </c>
      <c r="Q64" s="25">
        <v>0</v>
      </c>
      <c r="R64" s="25">
        <v>0</v>
      </c>
      <c r="S64" s="25">
        <v>0</v>
      </c>
      <c r="T64" s="25"/>
      <c r="U64" s="25"/>
      <c r="V64" s="25"/>
      <c r="W64" s="25"/>
      <c r="X64" s="25"/>
      <c r="Y64" s="25"/>
      <c r="Z64" s="25"/>
      <c r="AA64" s="25"/>
      <c r="AB64" s="25"/>
    </row>
    <row r="65" spans="3:28" ht="14.4" customHeight="1">
      <c r="C65" t="s">
        <v>92</v>
      </c>
      <c r="E65" s="84">
        <v>0</v>
      </c>
      <c r="F65" s="84">
        <v>0</v>
      </c>
      <c r="G65" s="84">
        <v>0</v>
      </c>
      <c r="H65" s="84">
        <v>0</v>
      </c>
      <c r="I65" s="76"/>
      <c r="J65" s="54"/>
      <c r="K65" s="31"/>
      <c r="L65" s="30"/>
      <c r="M65" s="25"/>
      <c r="N65" s="25"/>
      <c r="O65" s="25" t="s">
        <v>124</v>
      </c>
      <c r="P65" s="117">
        <v>2177</v>
      </c>
      <c r="Q65" s="117">
        <v>2545</v>
      </c>
      <c r="R65" s="25">
        <v>-700</v>
      </c>
      <c r="S65" s="117">
        <v>-1275</v>
      </c>
      <c r="T65" s="25"/>
      <c r="U65" s="25"/>
      <c r="V65" s="25"/>
      <c r="W65" s="25"/>
      <c r="X65" s="25"/>
      <c r="Y65" s="25"/>
      <c r="Z65" s="25"/>
      <c r="AA65" s="25"/>
      <c r="AB65" s="25"/>
    </row>
    <row r="66" spans="3:28" ht="14.4" customHeight="1">
      <c r="C66" s="2" t="s">
        <v>11</v>
      </c>
      <c r="D66" s="2"/>
      <c r="E66" s="75">
        <f>E63-E64-E65</f>
        <v>1862</v>
      </c>
      <c r="F66" s="75">
        <f t="shared" ref="F66:H66" si="13">F63-F64-F65</f>
        <v>2650</v>
      </c>
      <c r="G66" s="75">
        <f t="shared" si="13"/>
        <v>-670</v>
      </c>
      <c r="H66" s="75">
        <f t="shared" si="13"/>
        <v>-1263</v>
      </c>
      <c r="I66" s="76"/>
      <c r="J66" s="54"/>
      <c r="K66" s="31"/>
      <c r="L66" s="30"/>
      <c r="M66" s="25"/>
      <c r="N66" s="25"/>
      <c r="O66" s="25" t="s">
        <v>96</v>
      </c>
      <c r="P66" s="25">
        <v>-420</v>
      </c>
      <c r="Q66" s="25">
        <v>-410</v>
      </c>
      <c r="R66" s="25">
        <v>5</v>
      </c>
      <c r="S66" s="25">
        <v>-2</v>
      </c>
      <c r="T66" s="25"/>
      <c r="U66" s="25"/>
      <c r="V66" s="25"/>
      <c r="W66" s="25"/>
      <c r="X66" s="25"/>
      <c r="Y66" s="25"/>
      <c r="Z66" s="25"/>
      <c r="AA66" s="25"/>
      <c r="AB66" s="25"/>
    </row>
    <row r="67" spans="3:28" ht="14.4" customHeight="1">
      <c r="C67" t="s">
        <v>93</v>
      </c>
      <c r="E67" s="84">
        <v>-115</v>
      </c>
      <c r="F67" s="84">
        <v>-140</v>
      </c>
      <c r="G67" s="84">
        <v>-50</v>
      </c>
      <c r="H67" s="84">
        <v>-30</v>
      </c>
      <c r="I67" s="76"/>
      <c r="J67" s="54"/>
      <c r="K67" s="31"/>
      <c r="L67" s="30"/>
      <c r="M67" s="25"/>
      <c r="N67" s="25"/>
      <c r="O67" s="25" t="s">
        <v>125</v>
      </c>
      <c r="P67" s="117">
        <v>1757</v>
      </c>
      <c r="Q67" s="117">
        <v>2135</v>
      </c>
      <c r="R67" s="25">
        <v>-695</v>
      </c>
      <c r="S67" s="117">
        <v>-1277</v>
      </c>
      <c r="T67" s="25"/>
      <c r="U67" s="25"/>
      <c r="V67" s="25"/>
      <c r="W67" s="25"/>
      <c r="X67" s="25"/>
      <c r="Y67" s="25"/>
      <c r="Z67" s="25"/>
      <c r="AA67" s="25"/>
      <c r="AB67" s="25"/>
    </row>
    <row r="68" spans="3:28" ht="14.4" customHeight="1">
      <c r="C68" t="s">
        <v>94</v>
      </c>
      <c r="E68" s="84">
        <v>430</v>
      </c>
      <c r="F68" s="84">
        <v>35</v>
      </c>
      <c r="G68" s="84">
        <v>20</v>
      </c>
      <c r="H68" s="84">
        <v>18</v>
      </c>
      <c r="I68" s="76"/>
      <c r="J68" s="54"/>
      <c r="K68" s="31"/>
      <c r="L68" s="30"/>
      <c r="M68" s="25"/>
      <c r="N68" s="25"/>
      <c r="O68" s="25" t="s">
        <v>34</v>
      </c>
      <c r="P68" s="118">
        <v>0.51</v>
      </c>
      <c r="Q68" s="118">
        <v>0.73</v>
      </c>
      <c r="R68" s="118">
        <v>-0.32</v>
      </c>
      <c r="S68" s="118">
        <v>-1.25</v>
      </c>
      <c r="T68" s="25"/>
      <c r="U68" s="25"/>
      <c r="V68" s="25"/>
      <c r="W68" s="25"/>
      <c r="X68" s="25"/>
      <c r="Y68" s="25"/>
      <c r="Z68" s="25"/>
      <c r="AA68" s="25"/>
      <c r="AB68" s="25"/>
    </row>
    <row r="69" spans="3:28" ht="14.4" customHeight="1">
      <c r="C69" t="s">
        <v>95</v>
      </c>
      <c r="E69" s="84">
        <v>0</v>
      </c>
      <c r="F69" s="84">
        <v>0</v>
      </c>
      <c r="G69" s="84">
        <v>0</v>
      </c>
      <c r="H69" s="84">
        <v>0</v>
      </c>
      <c r="I69" s="76"/>
      <c r="J69" s="54"/>
      <c r="K69" s="31"/>
      <c r="L69" s="30"/>
      <c r="M69" s="25"/>
      <c r="N69" s="25"/>
      <c r="O69" s="25" t="s">
        <v>97</v>
      </c>
      <c r="P69" s="117">
        <v>-1510</v>
      </c>
      <c r="Q69" s="117">
        <v>-2010</v>
      </c>
      <c r="R69" s="25">
        <v>-270</v>
      </c>
      <c r="S69" s="25">
        <v>-260</v>
      </c>
      <c r="T69" s="25"/>
      <c r="U69" s="25"/>
      <c r="V69" s="25"/>
      <c r="W69" s="25"/>
      <c r="X69" s="25"/>
      <c r="Y69" s="25"/>
      <c r="Z69" s="25"/>
      <c r="AA69" s="25"/>
      <c r="AB69" s="25"/>
    </row>
    <row r="70" spans="3:28" ht="14.4" customHeight="1">
      <c r="C70" s="2" t="s">
        <v>31</v>
      </c>
      <c r="E70" s="75">
        <f>SUM(E66:E69)</f>
        <v>2177</v>
      </c>
      <c r="F70" s="75">
        <f t="shared" ref="F70:H70" si="14">SUM(F66:F69)</f>
        <v>2545</v>
      </c>
      <c r="G70" s="75">
        <f t="shared" si="14"/>
        <v>-700</v>
      </c>
      <c r="H70" s="75">
        <f t="shared" si="14"/>
        <v>-1275</v>
      </c>
      <c r="I70" s="76"/>
      <c r="J70" s="54"/>
      <c r="K70" s="31"/>
      <c r="L70" s="30"/>
      <c r="M70" s="25"/>
      <c r="N70" s="25"/>
      <c r="O70" s="25" t="s">
        <v>12</v>
      </c>
      <c r="P70" s="117">
        <v>3372</v>
      </c>
      <c r="Q70" s="117">
        <v>4660</v>
      </c>
      <c r="R70" s="25">
        <v>-400</v>
      </c>
      <c r="S70" s="117">
        <v>-1003</v>
      </c>
      <c r="T70" s="25"/>
      <c r="U70" s="25"/>
      <c r="V70" s="25"/>
      <c r="W70" s="25"/>
      <c r="X70" s="25"/>
      <c r="Y70" s="25"/>
      <c r="Z70" s="25"/>
      <c r="AA70" s="25"/>
      <c r="AB70" s="25"/>
    </row>
    <row r="71" spans="3:28" ht="14.4" customHeight="1">
      <c r="C71" t="s">
        <v>96</v>
      </c>
      <c r="E71" s="84">
        <v>-420</v>
      </c>
      <c r="F71" s="84">
        <v>-410</v>
      </c>
      <c r="G71" s="84">
        <v>5</v>
      </c>
      <c r="H71" s="84">
        <v>-2</v>
      </c>
      <c r="I71" s="76"/>
      <c r="J71" s="54"/>
      <c r="K71" s="31"/>
      <c r="L71" s="30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3:28" ht="14.4" customHeight="1">
      <c r="C72" t="s">
        <v>84</v>
      </c>
      <c r="E72" s="74">
        <f>SUM(E70:E71)</f>
        <v>1757</v>
      </c>
      <c r="F72" s="74">
        <f t="shared" ref="F72:H72" si="15">SUM(F70:F71)</f>
        <v>2135</v>
      </c>
      <c r="G72" s="74">
        <f t="shared" si="15"/>
        <v>-695</v>
      </c>
      <c r="H72" s="74">
        <f t="shared" si="15"/>
        <v>-1277</v>
      </c>
      <c r="I72" s="76"/>
      <c r="J72" s="54"/>
      <c r="K72" s="31"/>
      <c r="L72" s="30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3:28" ht="14.4" customHeight="1">
      <c r="C73" s="2" t="s">
        <v>34</v>
      </c>
      <c r="E73" s="127">
        <v>0.51</v>
      </c>
      <c r="F73" s="127">
        <v>0.73</v>
      </c>
      <c r="G73" s="127">
        <v>-0.32</v>
      </c>
      <c r="H73" s="127">
        <v>-1.25</v>
      </c>
      <c r="I73" s="76"/>
      <c r="J73" s="54"/>
      <c r="K73" s="31"/>
      <c r="L73" s="30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3:28" ht="14.4" customHeight="1">
      <c r="C74" s="2"/>
      <c r="E74" s="74"/>
      <c r="F74" s="74"/>
      <c r="G74" s="74"/>
      <c r="H74" s="74"/>
      <c r="I74" s="76"/>
      <c r="J74" s="54"/>
      <c r="K74" s="31"/>
      <c r="L74" s="30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3:28" ht="14.4" customHeight="1">
      <c r="C75" s="61" t="s">
        <v>97</v>
      </c>
      <c r="E75" s="126">
        <v>-1510</v>
      </c>
      <c r="F75" s="126">
        <v>-2010</v>
      </c>
      <c r="G75" s="84">
        <v>-270</v>
      </c>
      <c r="H75" s="84">
        <v>-260</v>
      </c>
      <c r="I75" s="76"/>
      <c r="J75" s="54"/>
      <c r="K75" s="31"/>
      <c r="L75" s="30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3:28" ht="14.4" customHeight="1">
      <c r="C76" s="2" t="s">
        <v>12</v>
      </c>
      <c r="E76" s="75">
        <f>E66-E75</f>
        <v>3372</v>
      </c>
      <c r="F76" s="75">
        <f>F66-F75</f>
        <v>4660</v>
      </c>
      <c r="G76" s="75">
        <f>G66-G75</f>
        <v>-400</v>
      </c>
      <c r="H76" s="75">
        <f>H66-H75</f>
        <v>-1003</v>
      </c>
      <c r="I76" s="85"/>
      <c r="J76" s="54"/>
      <c r="K76" s="31"/>
      <c r="L76" s="30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3:28" ht="14.4" customHeight="1">
      <c r="J77" s="54"/>
      <c r="K77" s="31"/>
      <c r="L77" s="30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3:28" ht="14.4" customHeight="1">
      <c r="C78" s="79" t="s">
        <v>33</v>
      </c>
      <c r="D78" s="80"/>
      <c r="E78" s="81" t="str">
        <f>E$8</f>
        <v>Tesla</v>
      </c>
      <c r="F78" s="81" t="str">
        <f>F$8</f>
        <v>BYD</v>
      </c>
      <c r="G78" s="81" t="str">
        <f>G$8</f>
        <v>NIO</v>
      </c>
      <c r="H78" s="81" t="str">
        <f>H$8</f>
        <v>RIVN</v>
      </c>
      <c r="I78" s="81">
        <f>I$8</f>
        <v>0</v>
      </c>
      <c r="J78" s="54"/>
      <c r="K78" s="31"/>
      <c r="L78" s="30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3:28" ht="14.4" customHeight="1">
      <c r="E79" s="4"/>
      <c r="F79" s="4"/>
      <c r="G79" s="4"/>
      <c r="H79" s="4"/>
      <c r="I79" s="4"/>
      <c r="J79" s="54"/>
      <c r="K79" s="31"/>
      <c r="L79" s="30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3:28" ht="14.4" customHeight="1">
      <c r="C80" s="13" t="s">
        <v>40</v>
      </c>
      <c r="D80" s="13"/>
      <c r="E80" s="111">
        <v>46022</v>
      </c>
      <c r="F80" s="111">
        <v>46022</v>
      </c>
      <c r="G80" s="111">
        <v>46022</v>
      </c>
      <c r="H80" s="111">
        <v>46022</v>
      </c>
      <c r="I80" s="109"/>
      <c r="J80" s="54"/>
      <c r="K80" s="31"/>
      <c r="L80" s="30"/>
      <c r="M80" s="25"/>
      <c r="N80" s="132">
        <v>46022</v>
      </c>
      <c r="O80" s="132">
        <v>46022</v>
      </c>
      <c r="P80" s="132">
        <v>46022</v>
      </c>
      <c r="Q80" s="132">
        <v>46022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4" customHeight="1">
      <c r="C81" t="s">
        <v>41</v>
      </c>
      <c r="E81" s="126">
        <f>E25+E43-E61</f>
        <v>94549</v>
      </c>
      <c r="F81" s="126">
        <f>F25+F43-F61</f>
        <v>107180</v>
      </c>
      <c r="G81" s="126">
        <f>G25+G43-G61</f>
        <v>9815</v>
      </c>
      <c r="H81" s="126">
        <f>H25+H43-H61</f>
        <v>4948</v>
      </c>
      <c r="I81" s="110"/>
      <c r="J81" s="54"/>
      <c r="K81" s="31"/>
      <c r="L81" s="30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4" customHeight="1">
      <c r="C82" t="s">
        <v>42</v>
      </c>
      <c r="E82" s="114">
        <f>E40+E58-E76</f>
        <v>9726</v>
      </c>
      <c r="F82" s="114">
        <f>F40+F58-F76</f>
        <v>14783</v>
      </c>
      <c r="G82" s="114">
        <f>G40+G58-G76</f>
        <v>-1817</v>
      </c>
      <c r="H82" s="114">
        <f>H40+H58-H76</f>
        <v>-3397</v>
      </c>
      <c r="I82" s="11"/>
      <c r="J82" s="54"/>
      <c r="K82" s="31"/>
      <c r="L82" s="30"/>
      <c r="M82" s="25"/>
      <c r="N82" s="25" t="s">
        <v>128</v>
      </c>
      <c r="O82" s="25" t="s">
        <v>1</v>
      </c>
      <c r="P82" s="25" t="s">
        <v>118</v>
      </c>
      <c r="Q82" s="25" t="s">
        <v>111</v>
      </c>
      <c r="R82" s="25" t="s">
        <v>112</v>
      </c>
      <c r="S82" s="25" t="s">
        <v>119</v>
      </c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4" customHeight="1">
      <c r="C83" t="s">
        <v>43</v>
      </c>
      <c r="E83" s="114">
        <f>E30+E48-E66</f>
        <v>3561</v>
      </c>
      <c r="F83" s="114">
        <f>F30+F48-F66</f>
        <v>6643</v>
      </c>
      <c r="G83" s="114">
        <f>G30+G48-G66</f>
        <v>-2872</v>
      </c>
      <c r="H83" s="114">
        <f>H30+H48-H66</f>
        <v>-4426</v>
      </c>
      <c r="I83" s="11"/>
      <c r="J83" s="54"/>
      <c r="K83" s="31"/>
      <c r="L83" s="30"/>
      <c r="M83" s="25"/>
      <c r="N83" s="25" t="s">
        <v>129</v>
      </c>
      <c r="O83" s="25" t="s">
        <v>130</v>
      </c>
      <c r="P83" s="132">
        <v>46022</v>
      </c>
      <c r="Q83" s="132">
        <v>46022</v>
      </c>
      <c r="R83" s="132">
        <v>46022</v>
      </c>
      <c r="S83" s="132">
        <v>46022</v>
      </c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4" customHeight="1">
      <c r="C84" t="s">
        <v>44</v>
      </c>
      <c r="E84" s="130">
        <f>E37+E55-E73</f>
        <v>0.81</v>
      </c>
      <c r="F84" s="130">
        <f>F37+F55-F73</f>
        <v>1.79</v>
      </c>
      <c r="G84" s="130">
        <f>G37+G55-G73</f>
        <v>-1.42</v>
      </c>
      <c r="H84" s="130">
        <f>H37+H55-H73</f>
        <v>-4.24</v>
      </c>
      <c r="I84" s="62"/>
      <c r="J84" s="54"/>
      <c r="K84" s="31"/>
      <c r="L84" s="30"/>
      <c r="M84" s="25"/>
      <c r="N84" s="25" t="s">
        <v>41</v>
      </c>
      <c r="O84" s="116">
        <v>94827</v>
      </c>
      <c r="P84" s="116">
        <v>107130</v>
      </c>
      <c r="Q84" s="116">
        <v>9005</v>
      </c>
      <c r="R84" s="116">
        <v>4970</v>
      </c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4" customHeight="1">
      <c r="J85" s="54"/>
      <c r="K85" s="31"/>
      <c r="L85" s="30"/>
      <c r="M85" s="25"/>
      <c r="N85" s="25" t="s">
        <v>42</v>
      </c>
      <c r="O85" s="117">
        <v>10503</v>
      </c>
      <c r="P85" s="117">
        <v>15090</v>
      </c>
      <c r="Q85" s="117">
        <v>-1942</v>
      </c>
      <c r="R85" s="117">
        <v>-3658</v>
      </c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4" customHeight="1">
      <c r="C86" s="79" t="s">
        <v>9</v>
      </c>
      <c r="D86" s="80"/>
      <c r="E86" s="81" t="str">
        <f>E$8</f>
        <v>Tesla</v>
      </c>
      <c r="F86" s="81" t="str">
        <f>F$8</f>
        <v>BYD</v>
      </c>
      <c r="G86" s="81" t="str">
        <f>G$8</f>
        <v>NIO</v>
      </c>
      <c r="H86" s="81" t="str">
        <f>H$8</f>
        <v>RIVN</v>
      </c>
      <c r="I86" s="81">
        <f>I$8</f>
        <v>0</v>
      </c>
      <c r="J86" s="54"/>
      <c r="K86" s="31"/>
      <c r="L86" s="30"/>
      <c r="M86" s="25"/>
      <c r="N86" s="25" t="s">
        <v>43</v>
      </c>
      <c r="O86" s="117">
        <v>4355</v>
      </c>
      <c r="P86" s="117">
        <v>6970</v>
      </c>
      <c r="Q86" s="117">
        <v>-3000</v>
      </c>
      <c r="R86" s="117">
        <v>-4689</v>
      </c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4" customHeight="1">
      <c r="E87" s="4"/>
      <c r="F87" s="4"/>
      <c r="G87" s="4"/>
      <c r="H87" s="4"/>
      <c r="I87" s="4"/>
      <c r="J87" s="54"/>
      <c r="K87" s="31"/>
      <c r="L87" s="30"/>
      <c r="M87" s="25"/>
      <c r="N87" s="25" t="s">
        <v>44</v>
      </c>
      <c r="O87" s="118">
        <v>1.18</v>
      </c>
      <c r="P87" s="118">
        <v>1.88</v>
      </c>
      <c r="Q87" s="118">
        <v>-1.51</v>
      </c>
      <c r="R87" s="118">
        <v>-4.6900000000000004</v>
      </c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4" customHeight="1">
      <c r="C88" s="13" t="s">
        <v>39</v>
      </c>
      <c r="D88" s="13"/>
      <c r="E88" s="111">
        <v>46022</v>
      </c>
      <c r="F88" s="111">
        <v>46022</v>
      </c>
      <c r="G88" s="111">
        <v>46022</v>
      </c>
      <c r="H88" s="111">
        <v>46022</v>
      </c>
      <c r="I88" s="111"/>
      <c r="J88" s="54"/>
      <c r="K88" s="31"/>
      <c r="L88" s="30"/>
      <c r="M88" s="25"/>
      <c r="N88" s="25" t="s">
        <v>131</v>
      </c>
      <c r="O88" s="25" t="s">
        <v>130</v>
      </c>
      <c r="P88" s="25" t="s">
        <v>132</v>
      </c>
      <c r="Q88" s="25" t="s">
        <v>132</v>
      </c>
      <c r="R88" s="25" t="s">
        <v>132</v>
      </c>
      <c r="S88" s="25" t="s">
        <v>132</v>
      </c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4" customHeight="1">
      <c r="C89" t="s">
        <v>20</v>
      </c>
      <c r="E89" s="126">
        <f>E25</f>
        <v>94830</v>
      </c>
      <c r="F89" s="126">
        <f>F25</f>
        <v>107130</v>
      </c>
      <c r="G89" s="126">
        <f>G25</f>
        <v>9005</v>
      </c>
      <c r="H89" s="126">
        <f>H25</f>
        <v>4970</v>
      </c>
      <c r="I89" s="110"/>
      <c r="J89" s="54"/>
      <c r="K89" s="31"/>
      <c r="L89" s="30"/>
      <c r="M89" s="25"/>
      <c r="N89" s="25" t="s">
        <v>10</v>
      </c>
      <c r="O89" s="116">
        <v>94827</v>
      </c>
      <c r="P89" s="116">
        <v>107130</v>
      </c>
      <c r="Q89" s="116">
        <v>9005</v>
      </c>
      <c r="R89" s="116">
        <v>4970</v>
      </c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4" customHeight="1">
      <c r="C90" t="s">
        <v>19</v>
      </c>
      <c r="E90" s="114">
        <f>E40</f>
        <v>10500</v>
      </c>
      <c r="F90" s="114">
        <f>F40</f>
        <v>15090</v>
      </c>
      <c r="G90" s="114">
        <f>G40</f>
        <v>-1940</v>
      </c>
      <c r="H90" s="114">
        <f>H40</f>
        <v>-3658</v>
      </c>
      <c r="I90" s="11"/>
      <c r="J90" s="54"/>
      <c r="K90" s="31"/>
      <c r="L90" s="30"/>
      <c r="M90" s="25"/>
      <c r="N90" s="25" t="s">
        <v>12</v>
      </c>
      <c r="O90" s="117">
        <v>10503</v>
      </c>
      <c r="P90" s="117">
        <v>15090</v>
      </c>
      <c r="Q90" s="117">
        <v>-1942</v>
      </c>
      <c r="R90" s="117">
        <v>-3658</v>
      </c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4" customHeight="1">
      <c r="C91" t="s">
        <v>18</v>
      </c>
      <c r="E91" s="114">
        <f>E30</f>
        <v>4360</v>
      </c>
      <c r="F91" s="114">
        <f>F30</f>
        <v>6970</v>
      </c>
      <c r="G91" s="114">
        <f>G30</f>
        <v>-3000</v>
      </c>
      <c r="H91" s="114">
        <f>H30</f>
        <v>-4689</v>
      </c>
      <c r="I91" s="11"/>
      <c r="J91" s="54"/>
      <c r="K91" s="31"/>
      <c r="L91" s="30"/>
      <c r="M91" s="25"/>
      <c r="N91" s="25" t="s">
        <v>11</v>
      </c>
      <c r="O91" s="117">
        <v>4355</v>
      </c>
      <c r="P91" s="117">
        <v>6970</v>
      </c>
      <c r="Q91" s="117">
        <v>-3000</v>
      </c>
      <c r="R91" s="117">
        <v>-4689</v>
      </c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4" customHeight="1">
      <c r="C92" t="s">
        <v>17</v>
      </c>
      <c r="E92" s="130">
        <f>E37</f>
        <v>1.08</v>
      </c>
      <c r="F92" s="130">
        <f>F37</f>
        <v>1.88</v>
      </c>
      <c r="G92" s="130">
        <f>G37</f>
        <v>-1.51</v>
      </c>
      <c r="H92" s="130">
        <f>H37</f>
        <v>-4.6900000000000004</v>
      </c>
      <c r="I92" s="62"/>
      <c r="J92" s="54"/>
      <c r="K92" s="31"/>
      <c r="L92" s="30"/>
      <c r="M92" s="25"/>
      <c r="N92" s="25" t="s">
        <v>34</v>
      </c>
      <c r="O92" s="118">
        <v>1.18</v>
      </c>
      <c r="P92" s="118">
        <v>1.88</v>
      </c>
      <c r="Q92" s="118">
        <v>-1.51</v>
      </c>
      <c r="R92" s="118">
        <v>-4.6900000000000004</v>
      </c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4" customHeight="1">
      <c r="E93" s="62"/>
      <c r="F93" s="62"/>
      <c r="G93" s="62"/>
      <c r="H93" s="62"/>
      <c r="I93" s="62"/>
      <c r="J93" s="54"/>
      <c r="K93" s="31"/>
      <c r="L93" s="30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4" customHeight="1">
      <c r="A94" s="93" t="s">
        <v>102</v>
      </c>
      <c r="B94" s="94"/>
      <c r="C94" s="94"/>
      <c r="D94" s="94"/>
      <c r="E94" s="95"/>
      <c r="F94" s="95"/>
      <c r="G94" s="95"/>
      <c r="H94" s="95"/>
      <c r="I94" s="95"/>
      <c r="J94" s="96"/>
      <c r="K94" s="31"/>
      <c r="L94" s="30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4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31"/>
      <c r="L95" s="30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4" customHeight="1">
      <c r="A96" s="2"/>
      <c r="C96" s="97" t="s">
        <v>35</v>
      </c>
      <c r="D96" s="98"/>
      <c r="E96" s="99" t="str">
        <f>E$8</f>
        <v>Tesla</v>
      </c>
      <c r="F96" s="99" t="str">
        <f>F$8</f>
        <v>BYD</v>
      </c>
      <c r="G96" s="99" t="str">
        <f>G$8</f>
        <v>NIO</v>
      </c>
      <c r="H96" s="99" t="str">
        <f>H$8</f>
        <v>RIVN</v>
      </c>
      <c r="I96" s="99">
        <f>I$8</f>
        <v>0</v>
      </c>
      <c r="J96" s="54"/>
      <c r="K96" s="31"/>
      <c r="L96" s="30"/>
      <c r="M96" s="25"/>
      <c r="N96" s="25"/>
      <c r="O96" s="132">
        <v>46022</v>
      </c>
      <c r="P96" s="132">
        <v>46022</v>
      </c>
      <c r="Q96" s="132">
        <v>46022</v>
      </c>
      <c r="R96" s="132">
        <v>46022</v>
      </c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3:28" ht="14.4" customHeight="1">
      <c r="E97" s="4"/>
      <c r="F97" s="4"/>
      <c r="G97" s="4"/>
      <c r="H97" s="4"/>
      <c r="I97" s="4"/>
      <c r="J97" s="54"/>
      <c r="K97" s="31"/>
      <c r="L97" s="30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3:28" ht="14.4" customHeight="1">
      <c r="C98" s="13" t="s">
        <v>39</v>
      </c>
      <c r="D98" s="13"/>
      <c r="E98" s="87">
        <v>46387</v>
      </c>
      <c r="F98" s="87">
        <v>46387</v>
      </c>
      <c r="G98" s="87">
        <v>46387</v>
      </c>
      <c r="H98" s="87">
        <v>46387</v>
      </c>
      <c r="I98" s="87"/>
      <c r="J98" s="54"/>
      <c r="K98" s="31"/>
      <c r="L98" s="30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3:28" ht="14.4" customHeight="1">
      <c r="C99" t="s">
        <v>46</v>
      </c>
      <c r="E99" s="74">
        <v>103100</v>
      </c>
      <c r="F99" s="74">
        <v>121500</v>
      </c>
      <c r="G99" s="74">
        <v>11450</v>
      </c>
      <c r="H99" s="74">
        <v>6280</v>
      </c>
      <c r="I99" s="74"/>
      <c r="J99" s="54"/>
      <c r="K99" s="31"/>
      <c r="L99" s="30"/>
      <c r="M99" s="25"/>
      <c r="N99" s="45"/>
      <c r="O99" s="25"/>
      <c r="P99" s="25" t="s">
        <v>133</v>
      </c>
      <c r="Q99" s="25" t="s">
        <v>1</v>
      </c>
      <c r="R99" s="25" t="s">
        <v>118</v>
      </c>
      <c r="S99" s="25" t="s">
        <v>111</v>
      </c>
      <c r="T99" s="25" t="s">
        <v>112</v>
      </c>
      <c r="U99" s="25" t="s">
        <v>119</v>
      </c>
      <c r="V99" s="25"/>
      <c r="W99" s="25"/>
      <c r="X99" s="25"/>
      <c r="Y99" s="25"/>
      <c r="Z99" s="25"/>
      <c r="AA99" s="25"/>
      <c r="AB99" s="25"/>
    </row>
    <row r="100" spans="3:28" ht="14.4" customHeight="1">
      <c r="C100" t="s">
        <v>47</v>
      </c>
      <c r="E100" s="74">
        <v>14820</v>
      </c>
      <c r="F100" s="74">
        <v>18200</v>
      </c>
      <c r="G100" s="74">
        <v>-850</v>
      </c>
      <c r="H100" s="74">
        <v>-2150</v>
      </c>
      <c r="I100" s="74"/>
      <c r="J100" s="54"/>
      <c r="K100" s="31"/>
      <c r="L100" s="30"/>
      <c r="M100" s="25"/>
      <c r="N100" s="45"/>
      <c r="O100" s="25"/>
      <c r="P100" s="25" t="s">
        <v>39</v>
      </c>
      <c r="Q100" s="132">
        <v>46387</v>
      </c>
      <c r="R100" s="132">
        <v>46387</v>
      </c>
      <c r="S100" s="132">
        <v>46387</v>
      </c>
      <c r="T100" s="132">
        <v>46387</v>
      </c>
      <c r="U100" s="25"/>
      <c r="V100" s="25"/>
      <c r="W100" s="25"/>
      <c r="X100" s="25"/>
      <c r="Y100" s="25"/>
      <c r="Z100" s="25"/>
      <c r="AA100" s="25"/>
      <c r="AB100" s="25"/>
    </row>
    <row r="101" spans="3:28" ht="14.4" customHeight="1">
      <c r="C101" t="s">
        <v>48</v>
      </c>
      <c r="E101" s="74">
        <v>8450</v>
      </c>
      <c r="F101" s="74">
        <v>9850</v>
      </c>
      <c r="G101" s="74">
        <v>-1920</v>
      </c>
      <c r="H101" s="74">
        <v>-3150</v>
      </c>
      <c r="I101" s="74"/>
      <c r="J101" s="54"/>
      <c r="K101" s="31"/>
      <c r="L101" s="30"/>
      <c r="M101" s="25"/>
      <c r="N101" s="45"/>
      <c r="O101" s="25"/>
      <c r="P101" s="25" t="s">
        <v>46</v>
      </c>
      <c r="Q101" s="116">
        <v>103100</v>
      </c>
      <c r="R101" s="116">
        <v>121500</v>
      </c>
      <c r="S101" s="116">
        <v>11450</v>
      </c>
      <c r="T101" s="116">
        <v>6280</v>
      </c>
      <c r="U101" s="25"/>
      <c r="V101" s="25"/>
      <c r="W101" s="25"/>
      <c r="X101" s="25"/>
      <c r="Y101" s="25"/>
      <c r="Z101" s="25"/>
      <c r="AA101" s="25"/>
      <c r="AB101" s="25"/>
    </row>
    <row r="102" spans="3:28" ht="14.4" customHeight="1">
      <c r="C102" t="s">
        <v>49</v>
      </c>
      <c r="E102" s="89">
        <v>2.06</v>
      </c>
      <c r="F102" s="89">
        <v>2.2799999999999998</v>
      </c>
      <c r="G102" s="89">
        <v>-0.85</v>
      </c>
      <c r="H102" s="89">
        <v>-2.65</v>
      </c>
      <c r="I102" s="89"/>
      <c r="J102" s="54"/>
      <c r="K102" s="31"/>
      <c r="L102" s="30"/>
      <c r="M102" s="25"/>
      <c r="N102" s="45"/>
      <c r="O102" s="25"/>
      <c r="P102" s="25" t="s">
        <v>47</v>
      </c>
      <c r="Q102" s="117">
        <v>14820</v>
      </c>
      <c r="R102" s="117">
        <v>18200</v>
      </c>
      <c r="S102" s="25">
        <v>-850</v>
      </c>
      <c r="T102" s="117">
        <v>-2150</v>
      </c>
      <c r="U102" s="25"/>
      <c r="V102" s="25"/>
      <c r="W102" s="25"/>
      <c r="X102" s="25"/>
      <c r="Y102" s="25"/>
      <c r="Z102" s="25"/>
      <c r="AA102" s="25"/>
      <c r="AB102" s="25"/>
    </row>
    <row r="103" spans="3:28" ht="14.4" customHeight="1">
      <c r="C103" s="12" t="s">
        <v>38</v>
      </c>
      <c r="D103" s="12"/>
      <c r="E103" s="63" t="s">
        <v>37</v>
      </c>
      <c r="F103" s="63" t="s">
        <v>37</v>
      </c>
      <c r="G103" s="63" t="s">
        <v>37</v>
      </c>
      <c r="H103" s="63" t="s">
        <v>37</v>
      </c>
      <c r="I103" s="63"/>
      <c r="J103" s="54"/>
      <c r="K103" s="31"/>
      <c r="L103" s="30"/>
      <c r="M103" s="25"/>
      <c r="N103" s="25"/>
      <c r="O103" s="25"/>
      <c r="P103" s="25" t="s">
        <v>48</v>
      </c>
      <c r="Q103" s="117">
        <v>8450</v>
      </c>
      <c r="R103" s="117">
        <v>9850</v>
      </c>
      <c r="S103" s="117">
        <v>-1920</v>
      </c>
      <c r="T103" s="117">
        <v>-3150</v>
      </c>
      <c r="U103" s="25"/>
      <c r="V103" s="25"/>
      <c r="W103" s="25"/>
      <c r="X103" s="25"/>
      <c r="Y103" s="25"/>
      <c r="Z103" s="25"/>
      <c r="AA103" s="25"/>
      <c r="AB103" s="25"/>
    </row>
    <row r="104" spans="3:28" ht="14.4" customHeight="1">
      <c r="J104" s="54"/>
      <c r="K104" s="31"/>
      <c r="L104" s="30"/>
      <c r="M104" s="25"/>
      <c r="N104" s="25"/>
      <c r="O104" s="25"/>
      <c r="P104" s="25" t="s">
        <v>49</v>
      </c>
      <c r="Q104" s="118">
        <v>2.06</v>
      </c>
      <c r="R104" s="118">
        <v>2.2799999999999998</v>
      </c>
      <c r="S104" s="118">
        <v>-0.85</v>
      </c>
      <c r="T104" s="118">
        <v>-2.65</v>
      </c>
      <c r="U104" s="25"/>
      <c r="V104" s="25"/>
      <c r="W104" s="25"/>
      <c r="X104" s="25"/>
      <c r="Y104" s="25"/>
      <c r="Z104" s="25"/>
      <c r="AA104" s="25"/>
      <c r="AB104" s="25"/>
    </row>
    <row r="105" spans="3:28" ht="14.4" customHeight="1">
      <c r="C105" s="97" t="s">
        <v>36</v>
      </c>
      <c r="D105" s="98"/>
      <c r="E105" s="99" t="str">
        <f>E$8</f>
        <v>Tesla</v>
      </c>
      <c r="F105" s="99" t="str">
        <f>F$8</f>
        <v>BYD</v>
      </c>
      <c r="G105" s="99" t="str">
        <f>G$8</f>
        <v>NIO</v>
      </c>
      <c r="H105" s="99" t="str">
        <f>H$8</f>
        <v>RIVN</v>
      </c>
      <c r="I105" s="99">
        <f>I$8</f>
        <v>0</v>
      </c>
      <c r="J105" s="54"/>
      <c r="K105" s="31"/>
      <c r="L105" s="30"/>
      <c r="M105" s="25"/>
      <c r="N105" s="25"/>
      <c r="O105" s="25"/>
      <c r="P105" s="25" t="s">
        <v>134</v>
      </c>
      <c r="Q105" s="25" t="s">
        <v>37</v>
      </c>
      <c r="R105" s="25" t="s">
        <v>37</v>
      </c>
      <c r="S105" s="25" t="s">
        <v>37</v>
      </c>
      <c r="T105" s="25" t="s">
        <v>37</v>
      </c>
      <c r="U105" s="25"/>
      <c r="V105" s="25"/>
      <c r="W105" s="25"/>
      <c r="X105" s="25"/>
      <c r="Y105" s="25"/>
      <c r="Z105" s="25"/>
      <c r="AA105" s="25"/>
      <c r="AB105" s="25"/>
    </row>
    <row r="106" spans="3:28" ht="14.4" customHeight="1">
      <c r="E106" s="64"/>
      <c r="F106" s="64"/>
      <c r="J106" s="54"/>
      <c r="K106" s="31"/>
      <c r="L106" s="30"/>
      <c r="M106" s="25"/>
      <c r="N106" s="25"/>
      <c r="O106" s="25"/>
      <c r="P106" s="25" t="s">
        <v>135</v>
      </c>
      <c r="Q106" s="25" t="s">
        <v>1</v>
      </c>
      <c r="R106" s="25" t="s">
        <v>118</v>
      </c>
      <c r="S106" s="25" t="s">
        <v>111</v>
      </c>
      <c r="T106" s="25" t="s">
        <v>112</v>
      </c>
      <c r="U106" s="25" t="s">
        <v>119</v>
      </c>
      <c r="V106" s="25"/>
      <c r="W106" s="25"/>
      <c r="X106" s="25"/>
      <c r="Y106" s="25"/>
      <c r="Z106" s="25"/>
      <c r="AA106" s="25"/>
      <c r="AB106" s="25"/>
    </row>
    <row r="107" spans="3:28" ht="14.4" customHeight="1">
      <c r="C107" s="13" t="s">
        <v>39</v>
      </c>
      <c r="D107" s="13"/>
      <c r="E107" s="90">
        <v>46752</v>
      </c>
      <c r="F107" s="90">
        <v>46752</v>
      </c>
      <c r="G107" s="90">
        <v>46752</v>
      </c>
      <c r="H107" s="90">
        <v>46752</v>
      </c>
      <c r="I107" s="90"/>
      <c r="J107" s="54"/>
      <c r="K107" s="31"/>
      <c r="L107" s="30"/>
      <c r="M107" s="25"/>
      <c r="N107" s="25"/>
      <c r="O107" s="25"/>
      <c r="P107" s="25" t="s">
        <v>39</v>
      </c>
      <c r="Q107" s="132">
        <v>46752</v>
      </c>
      <c r="R107" s="132">
        <v>46752</v>
      </c>
      <c r="S107" s="132">
        <v>46752</v>
      </c>
      <c r="T107" s="132">
        <v>46752</v>
      </c>
      <c r="U107" s="25"/>
      <c r="V107" s="25"/>
      <c r="W107" s="25"/>
      <c r="X107" s="25"/>
      <c r="Y107" s="25"/>
      <c r="Z107" s="25"/>
      <c r="AA107" s="25"/>
      <c r="AB107" s="25"/>
    </row>
    <row r="108" spans="3:28" ht="14.4" customHeight="1">
      <c r="C108" t="s">
        <v>50</v>
      </c>
      <c r="E108" s="74">
        <v>120550</v>
      </c>
      <c r="F108" s="74">
        <v>139400</v>
      </c>
      <c r="G108" s="74">
        <v>14920</v>
      </c>
      <c r="H108" s="71">
        <v>9800</v>
      </c>
      <c r="I108" s="71"/>
      <c r="J108" s="54"/>
      <c r="K108" s="31"/>
      <c r="L108" s="30"/>
      <c r="M108" s="25"/>
      <c r="N108" s="45"/>
      <c r="O108" s="25"/>
      <c r="P108" s="25" t="s">
        <v>50</v>
      </c>
      <c r="Q108" s="116">
        <v>120550</v>
      </c>
      <c r="R108" s="116">
        <v>139400</v>
      </c>
      <c r="S108" s="116">
        <v>14920</v>
      </c>
      <c r="T108" s="116">
        <v>9800</v>
      </c>
      <c r="U108" s="25"/>
      <c r="V108" s="25"/>
      <c r="W108" s="25"/>
      <c r="X108" s="25"/>
      <c r="Y108" s="25"/>
      <c r="Z108" s="25"/>
      <c r="AA108" s="25"/>
      <c r="AB108" s="25"/>
    </row>
    <row r="109" spans="3:28" ht="14.4" customHeight="1">
      <c r="C109" t="s">
        <v>51</v>
      </c>
      <c r="E109" s="74">
        <v>18900</v>
      </c>
      <c r="F109" s="74">
        <v>22150</v>
      </c>
      <c r="G109" s="74">
        <v>450</v>
      </c>
      <c r="H109" s="70">
        <v>-420</v>
      </c>
      <c r="I109" s="70"/>
      <c r="J109" s="54"/>
      <c r="K109" s="31"/>
      <c r="L109" s="30"/>
      <c r="M109" s="25"/>
      <c r="N109" s="45"/>
      <c r="O109" s="25"/>
      <c r="P109" s="25" t="s">
        <v>51</v>
      </c>
      <c r="Q109" s="117">
        <v>18900</v>
      </c>
      <c r="R109" s="117">
        <v>22150</v>
      </c>
      <c r="S109" s="25">
        <v>450</v>
      </c>
      <c r="T109" s="25">
        <v>-420</v>
      </c>
      <c r="U109" s="25"/>
      <c r="V109" s="25"/>
      <c r="W109" s="25"/>
      <c r="X109" s="25"/>
      <c r="Y109" s="25"/>
      <c r="Z109" s="25"/>
      <c r="AA109" s="25"/>
      <c r="AB109" s="25"/>
    </row>
    <row r="110" spans="3:28" ht="14.4" customHeight="1">
      <c r="C110" t="s">
        <v>52</v>
      </c>
      <c r="E110" s="74">
        <v>12100</v>
      </c>
      <c r="F110" s="74">
        <v>13400</v>
      </c>
      <c r="G110" s="74">
        <v>-620</v>
      </c>
      <c r="H110" s="70">
        <v>-1400</v>
      </c>
      <c r="I110" s="70"/>
      <c r="J110" s="54"/>
      <c r="K110" s="31"/>
      <c r="L110" s="30"/>
      <c r="M110" s="25"/>
      <c r="N110" s="45"/>
      <c r="O110" s="25"/>
      <c r="P110" s="25" t="s">
        <v>52</v>
      </c>
      <c r="Q110" s="117">
        <v>12100</v>
      </c>
      <c r="R110" s="117">
        <v>13400</v>
      </c>
      <c r="S110" s="25">
        <v>-620</v>
      </c>
      <c r="T110" s="117">
        <v>-1400</v>
      </c>
      <c r="U110" s="25"/>
      <c r="V110" s="25"/>
      <c r="W110" s="25"/>
      <c r="X110" s="25"/>
      <c r="Y110" s="25"/>
      <c r="Z110" s="25"/>
      <c r="AA110" s="25"/>
      <c r="AB110" s="25"/>
    </row>
    <row r="111" spans="3:28" ht="14.4" customHeight="1">
      <c r="C111" t="s">
        <v>53</v>
      </c>
      <c r="E111" s="89">
        <v>2.85</v>
      </c>
      <c r="F111" s="89">
        <v>2.75</v>
      </c>
      <c r="G111" s="89">
        <v>-0.15</v>
      </c>
      <c r="H111" s="88">
        <v>-0.95</v>
      </c>
      <c r="I111" s="88"/>
      <c r="J111" s="54"/>
      <c r="K111" s="31"/>
      <c r="L111" s="30"/>
      <c r="M111" s="25"/>
      <c r="N111" s="45"/>
      <c r="O111" s="25"/>
      <c r="P111" s="25" t="s">
        <v>53</v>
      </c>
      <c r="Q111" s="118">
        <v>2.85</v>
      </c>
      <c r="R111" s="118">
        <v>2.75</v>
      </c>
      <c r="S111" s="118">
        <v>-0.15</v>
      </c>
      <c r="T111" s="118">
        <v>-0.95</v>
      </c>
      <c r="U111" s="25"/>
      <c r="V111" s="25"/>
      <c r="W111" s="25"/>
      <c r="X111" s="25"/>
      <c r="Y111" s="25"/>
      <c r="Z111" s="25"/>
      <c r="AA111" s="25"/>
      <c r="AB111" s="25"/>
    </row>
    <row r="112" spans="3:28" ht="14.4" customHeight="1">
      <c r="C112" s="12" t="s">
        <v>38</v>
      </c>
      <c r="D112" s="12"/>
      <c r="E112" s="91" t="s">
        <v>37</v>
      </c>
      <c r="F112" s="91" t="s">
        <v>37</v>
      </c>
      <c r="G112" s="91" t="s">
        <v>37</v>
      </c>
      <c r="H112" s="91" t="s">
        <v>37</v>
      </c>
      <c r="I112" s="91"/>
      <c r="J112" s="54"/>
      <c r="K112" s="31"/>
      <c r="L112" s="30"/>
      <c r="M112" s="25"/>
      <c r="N112" s="25"/>
      <c r="O112" s="25"/>
      <c r="P112" s="25" t="s">
        <v>134</v>
      </c>
      <c r="Q112" s="25" t="s">
        <v>37</v>
      </c>
      <c r="R112" s="25" t="s">
        <v>37</v>
      </c>
      <c r="S112" s="25" t="s">
        <v>37</v>
      </c>
      <c r="T112" s="25" t="s">
        <v>37</v>
      </c>
      <c r="U112" s="25"/>
      <c r="V112" s="25"/>
      <c r="W112" s="25"/>
      <c r="X112" s="25"/>
      <c r="Y112" s="25"/>
      <c r="Z112" s="25"/>
      <c r="AA112" s="25"/>
      <c r="AB112" s="25"/>
    </row>
    <row r="113" spans="1:28" ht="14.4" customHeight="1">
      <c r="E113" s="64"/>
      <c r="F113" s="64"/>
      <c r="J113" s="54"/>
      <c r="K113" s="31"/>
      <c r="L113" s="30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4" customHeight="1">
      <c r="C114" s="97" t="s">
        <v>45</v>
      </c>
      <c r="D114" s="98"/>
      <c r="E114" s="99" t="str">
        <f>E$8</f>
        <v>Tesla</v>
      </c>
      <c r="F114" s="99" t="str">
        <f>F$8</f>
        <v>BYD</v>
      </c>
      <c r="G114" s="99" t="str">
        <f>G$8</f>
        <v>NIO</v>
      </c>
      <c r="H114" s="99" t="str">
        <f>H$8</f>
        <v>RIVN</v>
      </c>
      <c r="I114" s="99">
        <f>I$8</f>
        <v>0</v>
      </c>
      <c r="J114" s="54"/>
      <c r="K114" s="31"/>
      <c r="L114" s="30"/>
      <c r="M114" s="25"/>
      <c r="N114" s="25"/>
      <c r="O114" s="25"/>
      <c r="P114" s="133">
        <v>0.16900000000000001</v>
      </c>
      <c r="Q114" s="133">
        <v>0.158</v>
      </c>
      <c r="R114" s="133">
        <v>0.224</v>
      </c>
      <c r="S114" s="133">
        <v>0.28499999999999998</v>
      </c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4" customHeight="1">
      <c r="E115" s="64"/>
      <c r="F115" s="64"/>
      <c r="J115" s="54"/>
      <c r="K115" s="31"/>
      <c r="L115" s="30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4" customHeight="1">
      <c r="C116" t="s">
        <v>25</v>
      </c>
      <c r="E116" s="92">
        <v>0.16900000000000001</v>
      </c>
      <c r="F116" s="92">
        <v>0.158</v>
      </c>
      <c r="G116" s="92">
        <v>0.224</v>
      </c>
      <c r="H116" s="92">
        <v>0.28499999999999998</v>
      </c>
      <c r="I116" s="92"/>
      <c r="J116" s="54"/>
      <c r="K116" s="31"/>
      <c r="L116" s="30"/>
      <c r="M116" s="25"/>
      <c r="N116" s="4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4" customHeight="1">
      <c r="C117" s="12" t="s">
        <v>38</v>
      </c>
      <c r="D117" s="12"/>
      <c r="E117" s="91" t="s">
        <v>37</v>
      </c>
      <c r="F117" s="91" t="s">
        <v>37</v>
      </c>
      <c r="G117" s="91" t="s">
        <v>37</v>
      </c>
      <c r="H117" s="91" t="s">
        <v>37</v>
      </c>
      <c r="I117" s="48"/>
      <c r="J117" s="54"/>
      <c r="K117" s="31"/>
      <c r="L117" s="30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4" customHeight="1">
      <c r="C118" s="12"/>
      <c r="D118" s="12"/>
      <c r="E118" s="63"/>
      <c r="F118" s="63"/>
      <c r="G118" s="63"/>
      <c r="J118" s="54"/>
      <c r="K118" s="31"/>
      <c r="L118" s="30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4" customHeight="1">
      <c r="A119" s="101"/>
      <c r="B119" s="102"/>
      <c r="C119" s="102"/>
      <c r="D119" s="102"/>
      <c r="E119" s="102"/>
      <c r="F119" s="102"/>
      <c r="G119" s="102"/>
      <c r="H119" s="102"/>
      <c r="I119" s="102"/>
      <c r="J119" s="103"/>
      <c r="K119" s="31"/>
      <c r="L119" s="30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4" customHeight="1">
      <c r="C120" t="s">
        <v>15</v>
      </c>
      <c r="E120" s="70" t="s">
        <v>103</v>
      </c>
      <c r="F120" s="70"/>
      <c r="G120" s="70"/>
      <c r="H120" s="70"/>
      <c r="I120" s="70"/>
      <c r="J120" s="54"/>
      <c r="K120" s="31"/>
      <c r="L120" s="30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4" customHeight="1">
      <c r="A121" s="2" t="s">
        <v>104</v>
      </c>
      <c r="C121" t="s">
        <v>105</v>
      </c>
      <c r="E121" s="74">
        <v>2456</v>
      </c>
      <c r="F121" s="74">
        <v>1850</v>
      </c>
      <c r="G121" s="74">
        <v>831</v>
      </c>
      <c r="H121" s="74">
        <v>762</v>
      </c>
      <c r="I121" s="69"/>
      <c r="J121" s="54"/>
      <c r="K121" s="31"/>
      <c r="L121" s="30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4" customHeight="1">
      <c r="C122" t="s">
        <v>16</v>
      </c>
      <c r="E122" s="74">
        <v>5757</v>
      </c>
      <c r="F122" s="74">
        <v>10210</v>
      </c>
      <c r="G122" s="74">
        <v>1225</v>
      </c>
      <c r="H122" s="74">
        <v>4438</v>
      </c>
      <c r="I122" s="70"/>
      <c r="J122" s="54"/>
      <c r="K122" s="31"/>
      <c r="L122" s="30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4" customHeight="1">
      <c r="C123" t="s">
        <v>32</v>
      </c>
      <c r="E123" s="74">
        <v>687</v>
      </c>
      <c r="F123" s="74">
        <v>1250</v>
      </c>
      <c r="G123" s="74">
        <v>0</v>
      </c>
      <c r="H123" s="74">
        <v>8</v>
      </c>
      <c r="I123" s="70"/>
      <c r="J123" s="54"/>
      <c r="K123" s="31"/>
      <c r="L123" s="30"/>
      <c r="M123" s="25"/>
      <c r="N123" s="25"/>
      <c r="O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4" customHeight="1">
      <c r="C124" t="s">
        <v>106</v>
      </c>
      <c r="E124" s="74">
        <v>0</v>
      </c>
      <c r="F124" s="74">
        <v>0</v>
      </c>
      <c r="G124" s="74">
        <v>0</v>
      </c>
      <c r="H124" s="74">
        <v>0</v>
      </c>
      <c r="I124" s="70"/>
      <c r="J124" s="54"/>
      <c r="K124" s="31"/>
      <c r="L124" s="30"/>
      <c r="M124" s="25"/>
      <c r="N124" s="25"/>
      <c r="O124" s="25"/>
      <c r="P124" s="25" t="s">
        <v>104</v>
      </c>
      <c r="Q124" s="116" t="s">
        <v>118</v>
      </c>
      <c r="R124" s="116" t="s">
        <v>111</v>
      </c>
      <c r="S124" s="116" t="s">
        <v>112</v>
      </c>
      <c r="T124" s="116" t="s">
        <v>138</v>
      </c>
      <c r="U124" s="25"/>
      <c r="V124" s="25"/>
      <c r="W124" s="25"/>
      <c r="X124" s="25"/>
      <c r="Y124" s="25"/>
      <c r="Z124" s="25"/>
      <c r="AA124" s="25"/>
      <c r="AB124" s="25"/>
    </row>
    <row r="125" spans="1:28" ht="14.4" customHeight="1">
      <c r="C125" t="s">
        <v>107</v>
      </c>
      <c r="E125" s="74">
        <f>SUM(E121:E124)</f>
        <v>8900</v>
      </c>
      <c r="F125" s="74">
        <f>SUM(F121:F124)</f>
        <v>13310</v>
      </c>
      <c r="G125" s="74">
        <f>SUM(G121:G124)</f>
        <v>2056</v>
      </c>
      <c r="H125" s="74">
        <f>SUM(H121:H124)</f>
        <v>5208</v>
      </c>
      <c r="I125" s="70"/>
      <c r="J125" s="54"/>
      <c r="K125" s="31"/>
      <c r="L125" s="30"/>
      <c r="M125" s="25"/>
      <c r="N125" s="25"/>
      <c r="O125" s="25"/>
      <c r="P125" s="25" t="s">
        <v>139</v>
      </c>
      <c r="Q125" s="117">
        <v>2456</v>
      </c>
      <c r="R125" s="117">
        <v>1850</v>
      </c>
      <c r="S125" s="117">
        <v>831</v>
      </c>
      <c r="T125" s="117">
        <v>762</v>
      </c>
      <c r="U125" s="25"/>
      <c r="V125" s="25"/>
      <c r="W125" s="25"/>
      <c r="X125" s="25"/>
      <c r="Y125" s="25"/>
      <c r="Z125" s="25"/>
      <c r="AA125" s="25"/>
      <c r="AB125" s="25"/>
    </row>
    <row r="126" spans="1:28" ht="14.4" customHeight="1">
      <c r="C126" t="s">
        <v>108</v>
      </c>
      <c r="E126" s="74">
        <v>-44100</v>
      </c>
      <c r="F126" s="74">
        <v>-24200</v>
      </c>
      <c r="G126" s="74">
        <v>-5100</v>
      </c>
      <c r="H126" s="74">
        <v>-7857</v>
      </c>
      <c r="I126" s="70"/>
      <c r="J126" s="54"/>
      <c r="K126" s="31"/>
      <c r="L126" s="30"/>
      <c r="M126" s="25"/>
      <c r="N126" s="25"/>
      <c r="O126" s="25"/>
      <c r="P126" s="25" t="s">
        <v>136</v>
      </c>
      <c r="Q126" s="116">
        <v>5757</v>
      </c>
      <c r="R126" s="116">
        <v>10210</v>
      </c>
      <c r="S126" s="116">
        <v>1225</v>
      </c>
      <c r="T126" s="116">
        <v>4438</v>
      </c>
      <c r="U126" s="25"/>
      <c r="V126" s="25"/>
      <c r="W126" s="25"/>
      <c r="X126" s="25"/>
      <c r="Y126" s="25"/>
      <c r="Z126" s="25"/>
      <c r="AA126" s="25"/>
      <c r="AB126" s="25"/>
    </row>
    <row r="127" spans="1:28" ht="14.4" customHeight="1">
      <c r="C127" s="2" t="s">
        <v>109</v>
      </c>
      <c r="E127" s="75">
        <f>SUM(E125:E126)</f>
        <v>-35200</v>
      </c>
      <c r="F127" s="75">
        <f t="shared" ref="F127:H127" si="16">SUM(F125:F126)</f>
        <v>-10890</v>
      </c>
      <c r="G127" s="75">
        <f t="shared" si="16"/>
        <v>-3044</v>
      </c>
      <c r="H127" s="75">
        <f t="shared" si="16"/>
        <v>-2649</v>
      </c>
      <c r="I127" s="100"/>
      <c r="J127" s="54"/>
      <c r="K127" s="31"/>
      <c r="L127" s="30"/>
      <c r="M127" s="25"/>
      <c r="N127" s="25"/>
      <c r="O127" s="25"/>
      <c r="P127" s="25" t="s">
        <v>140</v>
      </c>
      <c r="Q127" s="117">
        <v>687</v>
      </c>
      <c r="R127" s="117">
        <v>1250</v>
      </c>
      <c r="S127" s="117">
        <v>0</v>
      </c>
      <c r="T127" s="117">
        <v>8</v>
      </c>
      <c r="U127" s="25"/>
      <c r="V127" s="25"/>
      <c r="W127" s="25"/>
      <c r="X127" s="25"/>
      <c r="Y127" s="25"/>
      <c r="Z127" s="25"/>
      <c r="AA127" s="25"/>
      <c r="AB127" s="25"/>
    </row>
    <row r="128" spans="1:28" ht="14.4" customHeight="1">
      <c r="J128" s="54"/>
      <c r="K128" s="31"/>
      <c r="L128" s="30"/>
      <c r="M128" s="25"/>
      <c r="N128" s="25"/>
      <c r="O128" s="25"/>
      <c r="P128" s="25" t="s">
        <v>141</v>
      </c>
      <c r="Q128" s="116">
        <v>0</v>
      </c>
      <c r="R128" s="116">
        <v>0</v>
      </c>
      <c r="S128" s="116">
        <v>0</v>
      </c>
      <c r="T128" s="116">
        <v>0</v>
      </c>
      <c r="U128" s="25"/>
      <c r="V128" s="25"/>
      <c r="W128" s="25"/>
      <c r="X128" s="25"/>
      <c r="Y128" s="25"/>
      <c r="Z128" s="25"/>
      <c r="AA128" s="25"/>
      <c r="AB128" s="25"/>
    </row>
    <row r="129" spans="1:28" ht="14.4" customHeight="1">
      <c r="A129" s="82" t="s">
        <v>54</v>
      </c>
      <c r="B129" s="57"/>
      <c r="C129" s="58"/>
      <c r="D129" s="57"/>
      <c r="E129" s="57"/>
      <c r="F129" s="59"/>
      <c r="G129" s="60"/>
      <c r="H129" s="57"/>
      <c r="I129" s="57"/>
      <c r="J129" s="54"/>
      <c r="K129" s="31"/>
      <c r="L129" s="30"/>
      <c r="M129" s="25"/>
      <c r="N129" s="25"/>
      <c r="O129" s="25"/>
      <c r="P129" s="25" t="s">
        <v>142</v>
      </c>
      <c r="Q129" s="116">
        <v>-44100</v>
      </c>
      <c r="R129" s="116">
        <v>-24200</v>
      </c>
      <c r="S129" s="116">
        <v>-5100</v>
      </c>
      <c r="T129" s="116">
        <v>-7857</v>
      </c>
      <c r="U129" s="25"/>
      <c r="V129" s="25"/>
      <c r="W129" s="25"/>
      <c r="X129" s="25"/>
      <c r="Y129" s="25"/>
      <c r="Z129" s="25"/>
      <c r="AA129" s="25"/>
      <c r="AB129" s="25"/>
    </row>
    <row r="130" spans="1:28" ht="14.4" customHeight="1">
      <c r="E130" s="10"/>
      <c r="F130" s="10"/>
      <c r="G130" s="10"/>
      <c r="H130" s="10"/>
      <c r="I130" s="10"/>
      <c r="J130" s="54"/>
      <c r="K130" s="31"/>
      <c r="L130" s="30"/>
      <c r="M130" s="25"/>
      <c r="N130" s="25"/>
      <c r="O130" s="25"/>
      <c r="P130" s="25" t="s">
        <v>137</v>
      </c>
      <c r="Q130" s="118">
        <v>-35887</v>
      </c>
      <c r="R130" s="118">
        <v>-12140</v>
      </c>
      <c r="S130" s="118">
        <v>-3044</v>
      </c>
      <c r="T130" s="118">
        <v>-2657</v>
      </c>
      <c r="U130" s="25"/>
      <c r="V130" s="25"/>
      <c r="W130" s="25"/>
      <c r="X130" s="25"/>
      <c r="Y130" s="25"/>
      <c r="Z130" s="25"/>
      <c r="AA130" s="25"/>
      <c r="AB130" s="25"/>
    </row>
    <row r="131" spans="1:28" ht="14.4" customHeight="1">
      <c r="C131" s="104" t="s">
        <v>70</v>
      </c>
      <c r="D131" s="81"/>
      <c r="E131" s="81" t="str">
        <f>E$8</f>
        <v>Tesla</v>
      </c>
      <c r="F131" s="81" t="str">
        <f>F$8</f>
        <v>BYD</v>
      </c>
      <c r="G131" s="81" t="str">
        <f>G$8</f>
        <v>NIO</v>
      </c>
      <c r="H131" s="81" t="str">
        <f>H$8</f>
        <v>RIVN</v>
      </c>
      <c r="I131" s="81">
        <f>I$8</f>
        <v>0</v>
      </c>
      <c r="J131" s="54"/>
      <c r="K131" s="31"/>
      <c r="L131" s="30"/>
      <c r="M131" s="25"/>
      <c r="N131" s="25"/>
      <c r="O131" s="25"/>
      <c r="P131" s="25"/>
      <c r="Q131" s="119"/>
      <c r="R131" s="119"/>
      <c r="S131" s="119"/>
      <c r="T131" s="119"/>
      <c r="U131" s="25"/>
      <c r="V131" s="25"/>
      <c r="W131" s="25"/>
      <c r="X131" s="25"/>
      <c r="Y131" s="25"/>
      <c r="Z131" s="25"/>
      <c r="AA131" s="25"/>
      <c r="AB131" s="25"/>
    </row>
    <row r="132" spans="1:28" ht="14.4" customHeight="1">
      <c r="C132" s="65"/>
      <c r="E132" s="66"/>
      <c r="F132" s="66"/>
      <c r="G132" s="66"/>
      <c r="H132" s="66"/>
      <c r="I132" s="66"/>
      <c r="J132" s="54"/>
      <c r="K132" s="31"/>
      <c r="L132" s="30"/>
      <c r="M132" s="25"/>
      <c r="N132" s="44"/>
      <c r="O132" s="25"/>
      <c r="P132" s="25"/>
      <c r="Q132" s="116"/>
      <c r="R132" s="116"/>
      <c r="S132" s="116"/>
      <c r="T132" s="116"/>
      <c r="U132" s="25"/>
      <c r="V132" s="25"/>
      <c r="W132" s="25"/>
      <c r="X132" s="25"/>
      <c r="Y132" s="25"/>
      <c r="Z132" s="25"/>
      <c r="AA132" s="25"/>
      <c r="AB132" s="25"/>
    </row>
    <row r="133" spans="1:28" ht="14.4" customHeight="1">
      <c r="C133" t="s">
        <v>143</v>
      </c>
      <c r="E133" s="126">
        <f>E11</f>
        <v>417.32</v>
      </c>
      <c r="F133" s="126">
        <f>F11</f>
        <v>31.85</v>
      </c>
      <c r="G133" s="126">
        <f>G11</f>
        <v>4.8899999999999997</v>
      </c>
      <c r="H133" s="126">
        <f>H11</f>
        <v>14.69</v>
      </c>
      <c r="I133" s="105"/>
      <c r="J133" s="54"/>
      <c r="K133" s="31"/>
      <c r="L133" s="30"/>
      <c r="M133" s="25"/>
      <c r="N133" s="44"/>
      <c r="O133" s="25"/>
      <c r="P133" s="25"/>
      <c r="Q133" s="117"/>
      <c r="R133" s="117"/>
      <c r="S133" s="117"/>
      <c r="T133" s="117"/>
      <c r="U133" s="25"/>
      <c r="V133" s="25"/>
      <c r="W133" s="25"/>
      <c r="X133" s="25"/>
      <c r="Y133" s="25"/>
      <c r="Z133" s="25"/>
      <c r="AA133" s="25"/>
      <c r="AB133" s="25"/>
    </row>
    <row r="134" spans="1:28" ht="14.4" customHeight="1">
      <c r="C134" t="s">
        <v>144</v>
      </c>
      <c r="E134" s="126">
        <f>E19</f>
        <v>3512</v>
      </c>
      <c r="F134" s="126">
        <f>F19</f>
        <v>2956</v>
      </c>
      <c r="G134" s="126">
        <f>G19</f>
        <v>2335</v>
      </c>
      <c r="H134" s="126">
        <f>H19</f>
        <v>1337</v>
      </c>
      <c r="I134" s="106"/>
      <c r="J134" s="54"/>
      <c r="K134" s="31"/>
      <c r="L134" s="30"/>
      <c r="M134" s="25"/>
      <c r="N134" s="44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4" customHeight="1">
      <c r="C135" s="135" t="s">
        <v>145</v>
      </c>
      <c r="D135" s="2"/>
      <c r="E135" s="134">
        <f>E19*E11</f>
        <v>1465627.84</v>
      </c>
      <c r="F135" s="134">
        <f>F19*F11</f>
        <v>94148.6</v>
      </c>
      <c r="G135" s="134">
        <f>G19*G11</f>
        <v>11418.15</v>
      </c>
      <c r="H135" s="134">
        <f>H19*H11</f>
        <v>19640.53</v>
      </c>
      <c r="I135" s="107"/>
      <c r="J135" s="54"/>
      <c r="K135" s="31"/>
      <c r="L135" s="30"/>
      <c r="M135" s="25"/>
      <c r="N135" s="44"/>
      <c r="O135" s="25"/>
      <c r="P135" s="25"/>
      <c r="Q135" s="116"/>
      <c r="R135" s="116"/>
      <c r="S135" s="116"/>
      <c r="T135" s="116"/>
      <c r="U135" s="25"/>
      <c r="V135" s="25"/>
      <c r="W135" s="25"/>
      <c r="X135" s="25"/>
      <c r="Y135" s="25"/>
      <c r="Z135" s="25"/>
      <c r="AA135" s="25"/>
      <c r="AB135" s="25"/>
    </row>
    <row r="136" spans="1:28" ht="14.4" customHeight="1">
      <c r="C136" s="2"/>
      <c r="D136" s="2"/>
      <c r="E136" s="134"/>
      <c r="F136" s="134"/>
      <c r="G136" s="134"/>
      <c r="H136" s="107"/>
      <c r="I136" s="107"/>
      <c r="J136" s="54"/>
      <c r="K136" s="31"/>
      <c r="L136" s="30"/>
      <c r="M136" s="25"/>
      <c r="N136" s="44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4" customHeight="1">
      <c r="C137" t="s">
        <v>109</v>
      </c>
      <c r="D137" s="65"/>
      <c r="E137" s="126">
        <f>E127</f>
        <v>-35200</v>
      </c>
      <c r="F137" s="126">
        <f t="shared" ref="F137:H137" si="17">F127</f>
        <v>-10890</v>
      </c>
      <c r="G137" s="126">
        <f t="shared" si="17"/>
        <v>-3044</v>
      </c>
      <c r="H137" s="126">
        <f t="shared" ref="H137" si="18">H127</f>
        <v>-2649</v>
      </c>
      <c r="I137" s="106"/>
      <c r="J137" s="54"/>
      <c r="K137" s="31"/>
      <c r="L137" s="30"/>
      <c r="M137" s="25"/>
      <c r="N137" s="44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4" customHeight="1">
      <c r="C138" s="135" t="s">
        <v>146</v>
      </c>
      <c r="D138" s="2"/>
      <c r="E138" s="134">
        <f t="shared" ref="E138:H138" si="19">E135+E127</f>
        <v>1430427.84</v>
      </c>
      <c r="F138" s="134">
        <f t="shared" si="19"/>
        <v>83258.600000000006</v>
      </c>
      <c r="G138" s="134">
        <f t="shared" si="19"/>
        <v>8374.15</v>
      </c>
      <c r="H138" s="134">
        <f t="shared" ref="H138" si="20">H135+H127</f>
        <v>16991.53</v>
      </c>
      <c r="I138" s="108"/>
      <c r="J138" s="54"/>
      <c r="K138" s="31"/>
      <c r="L138" s="30"/>
      <c r="M138" s="25"/>
      <c r="N138" s="44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4" customHeight="1">
      <c r="J139" s="54"/>
      <c r="K139" s="31"/>
      <c r="L139" s="30"/>
      <c r="M139" s="25"/>
      <c r="N139" s="44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4" customHeight="1">
      <c r="C140" s="104" t="s">
        <v>71</v>
      </c>
      <c r="D140" s="81"/>
      <c r="E140" s="81" t="str">
        <f>E$8</f>
        <v>Tesla</v>
      </c>
      <c r="F140" s="81" t="str">
        <f>F$8</f>
        <v>BYD</v>
      </c>
      <c r="G140" s="81" t="str">
        <f>G$8</f>
        <v>NIO</v>
      </c>
      <c r="H140" s="81" t="str">
        <f>H$8</f>
        <v>RIVN</v>
      </c>
      <c r="I140" s="81">
        <f>I$8</f>
        <v>0</v>
      </c>
      <c r="J140" s="54"/>
      <c r="K140" s="31"/>
      <c r="L140" s="30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4" customHeight="1">
      <c r="E141" s="67"/>
      <c r="F141" s="67"/>
      <c r="G141" s="67"/>
      <c r="H141" s="67"/>
      <c r="I141" s="67"/>
      <c r="J141" s="54"/>
      <c r="K141" s="31"/>
      <c r="L141" s="30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4" customHeight="1">
      <c r="C142" s="3" t="s">
        <v>72</v>
      </c>
      <c r="E142" s="67"/>
      <c r="F142" s="67"/>
      <c r="G142" s="67"/>
      <c r="H142" s="67"/>
      <c r="I142" s="67"/>
      <c r="J142" s="54"/>
      <c r="K142" s="31"/>
      <c r="L142" s="30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4" customHeight="1">
      <c r="A143" t="s">
        <v>147</v>
      </c>
      <c r="C143" t="s">
        <v>55</v>
      </c>
      <c r="E143" s="14">
        <f>IFERROR(E138/E81, "NM")</f>
        <v>15.128957894848174</v>
      </c>
      <c r="F143" s="14">
        <f>IFERROR(F138/F81, "NM")</f>
        <v>0.77681097219630535</v>
      </c>
      <c r="G143" s="14">
        <f>IFERROR(G138/G81, "NM")</f>
        <v>0.85319918492103919</v>
      </c>
      <c r="H143" s="14">
        <f>IFERROR(H138/H81, "NM")</f>
        <v>3.4340198059822149</v>
      </c>
      <c r="I143" s="14"/>
      <c r="J143" s="54"/>
      <c r="K143" s="31"/>
      <c r="L143" s="30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4" customHeight="1">
      <c r="C144" t="s">
        <v>56</v>
      </c>
      <c r="E144" s="14">
        <f>IFERROR(E138/E82, "NM")</f>
        <v>147.0725724861197</v>
      </c>
      <c r="F144" s="14">
        <f>IFERROR(F138/F82, "NM")</f>
        <v>5.6320503280795515</v>
      </c>
      <c r="G144" s="14">
        <f>IFERROR(G138/G82, "NM")</f>
        <v>-4.6087782058337918</v>
      </c>
      <c r="H144" s="14">
        <f>IFERROR(H138/H82, "NM")</f>
        <v>-5.0019222843685602</v>
      </c>
      <c r="I144" s="14"/>
      <c r="J144" s="54"/>
      <c r="K144" s="31"/>
      <c r="L144" s="30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3:28" ht="14.4" customHeight="1">
      <c r="C145" t="s">
        <v>57</v>
      </c>
      <c r="E145" s="14">
        <f>IFERROR(E138/E83, "NM")</f>
        <v>401.69273799494528</v>
      </c>
      <c r="F145" s="14">
        <f>IFERROR(F138/F83, "NM")</f>
        <v>12.533283155200964</v>
      </c>
      <c r="G145" s="14">
        <f>IFERROR(G138/G83, "NM")</f>
        <v>-2.9157903899721447</v>
      </c>
      <c r="H145" s="14">
        <f>IFERROR(H138/H83, "NM")</f>
        <v>-3.8390262087663802</v>
      </c>
      <c r="I145" s="14"/>
      <c r="J145" s="54"/>
      <c r="K145" s="41"/>
      <c r="L145" s="3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3:28" ht="14.4" customHeight="1">
      <c r="C146" t="s">
        <v>58</v>
      </c>
      <c r="E146" s="14">
        <f>IFERROR(E11/E84, "NM")</f>
        <v>515.20987654320982</v>
      </c>
      <c r="F146" s="14">
        <f>IFERROR(F11/F84, "NM")</f>
        <v>17.793296089385475</v>
      </c>
      <c r="G146" s="14">
        <f>IFERROR(G11/G84, "NM")</f>
        <v>-3.443661971830986</v>
      </c>
      <c r="H146" s="14">
        <f>IFERROR(H11/H84, "NM")</f>
        <v>-3.4646226415094339</v>
      </c>
      <c r="I146" s="14"/>
      <c r="J146" s="54"/>
      <c r="K146" s="31"/>
      <c r="L146" s="30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3:28" ht="14.4" customHeight="1">
      <c r="C147" s="3" t="s">
        <v>23</v>
      </c>
      <c r="J147" s="54"/>
      <c r="K147" s="31"/>
      <c r="L147" s="30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3:28" ht="14.4" customHeight="1">
      <c r="C148" t="s">
        <v>59</v>
      </c>
      <c r="E148" s="15">
        <f t="shared" ref="E148:H150" si="21">IFERROR(E$138/E99, "NM")</f>
        <v>13.874178855480118</v>
      </c>
      <c r="F148" s="15">
        <f t="shared" si="21"/>
        <v>0.68525596707818937</v>
      </c>
      <c r="G148" s="15">
        <f t="shared" si="21"/>
        <v>0.73136681222707423</v>
      </c>
      <c r="H148" s="15">
        <f t="shared" ref="H148" si="22">IFERROR(H$138/H99, "NM")</f>
        <v>2.7056576433121018</v>
      </c>
      <c r="I148" s="15"/>
      <c r="J148" s="54"/>
      <c r="K148" s="31"/>
      <c r="L148" s="30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3:28" ht="14.4" customHeight="1">
      <c r="C149" t="s">
        <v>60</v>
      </c>
      <c r="E149" s="15">
        <f t="shared" si="21"/>
        <v>96.520097165991913</v>
      </c>
      <c r="F149" s="15">
        <f t="shared" si="21"/>
        <v>4.574648351648352</v>
      </c>
      <c r="G149" s="15">
        <f t="shared" si="21"/>
        <v>-9.8519411764705875</v>
      </c>
      <c r="H149" s="15">
        <f t="shared" ref="H149" si="23">IFERROR(H$138/H100, "NM")</f>
        <v>-7.9030372093023251</v>
      </c>
      <c r="I149" s="15"/>
      <c r="J149" s="54"/>
      <c r="K149" s="31"/>
      <c r="L149" s="30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3:28" ht="14.4" customHeight="1">
      <c r="C150" t="s">
        <v>61</v>
      </c>
      <c r="E150" s="15">
        <f t="shared" si="21"/>
        <v>169.28140118343197</v>
      </c>
      <c r="F150" s="15">
        <f t="shared" si="21"/>
        <v>8.4526497461928933</v>
      </c>
      <c r="G150" s="15">
        <f t="shared" si="21"/>
        <v>-4.3615364583333331</v>
      </c>
      <c r="H150" s="15">
        <f t="shared" ref="H150" si="24">IFERROR(H$138/H101, "NM")</f>
        <v>-5.3941365079365076</v>
      </c>
      <c r="I150" s="15"/>
      <c r="J150" s="54"/>
      <c r="K150" s="31"/>
      <c r="L150" s="30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3:28" ht="14.4" customHeight="1">
      <c r="C151" t="s">
        <v>62</v>
      </c>
      <c r="E151" s="15">
        <f>IFERROR(E133/E102, "NM")</f>
        <v>202.58252427184465</v>
      </c>
      <c r="F151" s="15">
        <f>IFERROR(F133/F102, "NM")</f>
        <v>13.969298245614038</v>
      </c>
      <c r="G151" s="15">
        <f>IFERROR(G133/G102, "NM")</f>
        <v>-5.7529411764705882</v>
      </c>
      <c r="H151" s="15">
        <f>IFERROR(H133/H102, "NM")</f>
        <v>-5.5433962264150942</v>
      </c>
      <c r="I151" s="15"/>
      <c r="J151" s="54"/>
      <c r="K151" s="31"/>
      <c r="L151" s="30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3:28" ht="14.4" customHeight="1">
      <c r="C152" s="3" t="s">
        <v>24</v>
      </c>
      <c r="J152" s="54"/>
      <c r="K152" s="31"/>
      <c r="L152" s="30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3:28" ht="14.4" customHeight="1">
      <c r="C153" t="s">
        <v>63</v>
      </c>
      <c r="E153" s="15">
        <f t="shared" ref="E153:H155" si="25">IFERROR(E$138/E108, "NM")</f>
        <v>11.865846868519288</v>
      </c>
      <c r="F153" s="15">
        <f t="shared" si="25"/>
        <v>0.59726398852223817</v>
      </c>
      <c r="G153" s="15">
        <f t="shared" si="25"/>
        <v>0.56127010723860582</v>
      </c>
      <c r="H153" s="15">
        <f t="shared" ref="H153" si="26">IFERROR(H$138/H108, "NM")</f>
        <v>1.7338295918367346</v>
      </c>
      <c r="I153" s="15"/>
      <c r="J153" s="54"/>
      <c r="K153" s="31"/>
      <c r="L153" s="30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3:28" ht="14.4" customHeight="1">
      <c r="C154" t="s">
        <v>64</v>
      </c>
      <c r="E154" s="15">
        <f t="shared" si="25"/>
        <v>75.684012698412701</v>
      </c>
      <c r="F154" s="15">
        <f t="shared" si="25"/>
        <v>3.7588532731376976</v>
      </c>
      <c r="G154" s="15">
        <f t="shared" si="25"/>
        <v>18.609222222222222</v>
      </c>
      <c r="H154" s="15">
        <f t="shared" ref="H154" si="27">IFERROR(H$138/H109, "NM")</f>
        <v>-40.456023809523806</v>
      </c>
      <c r="I154" s="15"/>
      <c r="J154" s="54"/>
      <c r="K154" s="31"/>
      <c r="L154" s="30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3:28" ht="14.4" customHeight="1">
      <c r="C155" t="s">
        <v>65</v>
      </c>
      <c r="E155" s="15">
        <f t="shared" si="25"/>
        <v>118.21717685950414</v>
      </c>
      <c r="F155" s="15">
        <f t="shared" si="25"/>
        <v>6.2133283582089556</v>
      </c>
      <c r="G155" s="15">
        <f t="shared" si="25"/>
        <v>-13.506693548387096</v>
      </c>
      <c r="H155" s="15">
        <f t="shared" ref="H155" si="28">IFERROR(H$138/H110, "NM")</f>
        <v>-12.136807142857142</v>
      </c>
      <c r="I155" s="15"/>
      <c r="J155" s="54"/>
      <c r="K155" s="31"/>
      <c r="L155" s="30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3:28" ht="14.4" customHeight="1">
      <c r="C156" t="s">
        <v>66</v>
      </c>
      <c r="E156" s="15">
        <f>IFERROR(E133/E111, "NM")</f>
        <v>146.42807017543859</v>
      </c>
      <c r="F156" s="15">
        <f>IFERROR(F133/F111, "NM")</f>
        <v>11.581818181818182</v>
      </c>
      <c r="G156" s="15">
        <f>IFERROR(G133/G111, "NM")</f>
        <v>-32.6</v>
      </c>
      <c r="H156" s="15">
        <f>IFERROR(H133/H111, "NM")</f>
        <v>-15.463157894736842</v>
      </c>
      <c r="I156" s="15"/>
      <c r="J156" s="54"/>
      <c r="K156" s="31"/>
      <c r="L156" s="30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3:28" ht="14.4" customHeight="1">
      <c r="J157" s="54"/>
      <c r="K157" s="31"/>
      <c r="L157" s="30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3:28" ht="14.4" customHeight="1">
      <c r="C158" t="s">
        <v>67</v>
      </c>
      <c r="E158" s="15">
        <f>IFERROR(E151/(E116*100), "NM")</f>
        <v>11.987131613718617</v>
      </c>
      <c r="F158" s="15">
        <f>IFERROR(F151/(F116*100), "NM")</f>
        <v>0.88413280035531883</v>
      </c>
      <c r="G158" s="15">
        <f>IFERROR(G151/(G116*100), "NM")</f>
        <v>-0.25682773109243695</v>
      </c>
      <c r="H158" s="15">
        <f>IFERROR(H151/(H116*100), "NM")</f>
        <v>-0.19450513075140685</v>
      </c>
      <c r="I158" s="15"/>
      <c r="J158" s="35"/>
      <c r="K158" s="31"/>
      <c r="L158" s="30"/>
      <c r="M158" s="25"/>
      <c r="N158" s="35"/>
      <c r="O158" s="34"/>
      <c r="P158" s="34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3:28" ht="14.4" customHeight="1">
      <c r="J159" s="35"/>
      <c r="K159" s="31"/>
      <c r="L159" s="30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3:28" ht="14.4" customHeight="1">
      <c r="J160" s="35"/>
      <c r="K160" s="31"/>
      <c r="L160" s="30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44">
      <c r="J161" s="35"/>
      <c r="L161" s="30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44">
      <c r="J162" s="35"/>
      <c r="L162" s="30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44">
      <c r="J163" s="43"/>
      <c r="L163" s="30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spans="1:44" ht="6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0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spans="1:44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42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44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42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44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42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44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42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44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42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44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42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44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42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44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44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4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44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44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 spans="1:28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 spans="1:28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 spans="1:28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 spans="1:2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spans="1:28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spans="1:28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spans="1:28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spans="1:28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spans="1:20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spans="1:20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 spans="1:20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spans="1:20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spans="1:20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spans="1:20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 spans="1:20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 spans="1:2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 spans="1:20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 spans="1:20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 spans="1:20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 spans="1:20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spans="1:20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 spans="1:20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 spans="1:20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 spans="1:20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 spans="1:20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M289" s="25"/>
      <c r="N289" s="25"/>
      <c r="O289" s="25"/>
      <c r="P289" s="25"/>
      <c r="Q289" s="25"/>
      <c r="R289" s="25"/>
      <c r="S289" s="25"/>
      <c r="T289" s="25"/>
    </row>
    <row r="290" spans="1:2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M290" s="25"/>
      <c r="N290" s="25"/>
      <c r="O290" s="25"/>
      <c r="P290" s="25"/>
      <c r="Q290" s="25"/>
      <c r="R290" s="25"/>
      <c r="S290" s="25"/>
      <c r="T290" s="25"/>
    </row>
    <row r="291" spans="1:20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M291" s="25"/>
      <c r="N291" s="25"/>
      <c r="O291" s="25"/>
      <c r="P291" s="25"/>
      <c r="Q291" s="25"/>
      <c r="R291" s="25"/>
      <c r="S291" s="25"/>
      <c r="T291" s="25"/>
    </row>
    <row r="292" spans="1:20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M292" s="25"/>
      <c r="N292" s="25"/>
      <c r="O292" s="25"/>
      <c r="P292" s="25"/>
      <c r="Q292" s="25"/>
      <c r="R292" s="25"/>
      <c r="S292" s="25"/>
      <c r="T292" s="25"/>
    </row>
    <row r="293" spans="1:20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M293" s="25"/>
      <c r="N293" s="25"/>
      <c r="O293" s="25"/>
      <c r="P293" s="25"/>
      <c r="Q293" s="25"/>
      <c r="R293" s="25"/>
      <c r="S293" s="25"/>
      <c r="T293" s="25"/>
    </row>
    <row r="294" spans="1:20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M294" s="25"/>
      <c r="N294" s="25"/>
      <c r="O294" s="25"/>
      <c r="P294" s="25"/>
      <c r="Q294" s="25"/>
      <c r="R294" s="25"/>
      <c r="S294" s="25"/>
      <c r="T294" s="25"/>
    </row>
    <row r="295" spans="1:20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M295" s="25"/>
      <c r="N295" s="25"/>
      <c r="O295" s="25"/>
      <c r="P295" s="25"/>
      <c r="Q295" s="25"/>
      <c r="R295" s="25"/>
      <c r="S295" s="25"/>
      <c r="T295" s="25"/>
    </row>
    <row r="296" spans="1:20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M296" s="25"/>
      <c r="N296" s="25"/>
      <c r="O296" s="25"/>
      <c r="P296" s="25"/>
      <c r="Q296" s="25"/>
      <c r="R296" s="25"/>
      <c r="S296" s="25"/>
      <c r="T296" s="25"/>
    </row>
    <row r="297" spans="1:20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M297" s="25"/>
      <c r="N297" s="25"/>
      <c r="O297" s="25"/>
      <c r="P297" s="25"/>
      <c r="Q297" s="25"/>
      <c r="R297" s="25"/>
      <c r="S297" s="25"/>
      <c r="T297" s="25"/>
    </row>
    <row r="298" spans="1:20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M298" s="25"/>
      <c r="N298" s="25"/>
      <c r="O298" s="25"/>
      <c r="P298" s="25"/>
      <c r="Q298" s="25"/>
      <c r="R298" s="25"/>
      <c r="S298" s="25"/>
      <c r="T298" s="25"/>
    </row>
    <row r="299" spans="1:20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M299" s="25"/>
      <c r="N299" s="25"/>
      <c r="O299" s="25"/>
      <c r="P299" s="25"/>
      <c r="Q299" s="25"/>
      <c r="R299" s="25"/>
      <c r="S299" s="25"/>
      <c r="T299" s="25"/>
    </row>
    <row r="300" spans="1:2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M300" s="25"/>
      <c r="N300" s="25"/>
      <c r="O300" s="25"/>
      <c r="P300" s="25"/>
      <c r="Q300" s="25"/>
      <c r="R300" s="25"/>
      <c r="S300" s="25"/>
      <c r="T300" s="25"/>
    </row>
    <row r="301" spans="1:20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M301" s="25"/>
      <c r="N301" s="25"/>
      <c r="O301" s="25"/>
      <c r="P301" s="25"/>
      <c r="Q301" s="25"/>
      <c r="R301" s="25"/>
      <c r="S301" s="25"/>
      <c r="T301" s="25"/>
    </row>
    <row r="302" spans="1:20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M302" s="25"/>
      <c r="N302" s="25"/>
      <c r="O302" s="25"/>
      <c r="P302" s="25"/>
      <c r="Q302" s="25"/>
      <c r="R302" s="25"/>
      <c r="S302" s="25"/>
      <c r="T302" s="25"/>
    </row>
    <row r="303" spans="1:20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M303" s="25"/>
      <c r="N303" s="25"/>
      <c r="O303" s="25"/>
      <c r="P303" s="25"/>
      <c r="Q303" s="25"/>
      <c r="R303" s="25"/>
      <c r="S303" s="25"/>
      <c r="T303" s="25"/>
    </row>
    <row r="304" spans="1:20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M304" s="25"/>
      <c r="N304" s="25"/>
      <c r="O304" s="25"/>
      <c r="P304" s="25"/>
      <c r="Q304" s="25"/>
      <c r="R304" s="25"/>
      <c r="S304" s="25"/>
      <c r="T304" s="25"/>
    </row>
    <row r="305" spans="1:20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M305" s="25"/>
      <c r="N305" s="25"/>
      <c r="O305" s="25"/>
      <c r="P305" s="25"/>
      <c r="Q305" s="25"/>
      <c r="R305" s="25"/>
      <c r="S305" s="25"/>
      <c r="T305" s="25"/>
    </row>
    <row r="306" spans="1:20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M306" s="25"/>
      <c r="N306" s="25"/>
      <c r="O306" s="25"/>
      <c r="P306" s="25"/>
      <c r="Q306" s="25"/>
      <c r="R306" s="25"/>
      <c r="S306" s="25"/>
      <c r="T306" s="25"/>
    </row>
    <row r="307" spans="1:20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M307" s="25"/>
      <c r="N307" s="25"/>
      <c r="O307" s="25"/>
      <c r="P307" s="25"/>
      <c r="Q307" s="25"/>
      <c r="R307" s="25"/>
      <c r="S307" s="25"/>
      <c r="T307" s="25"/>
    </row>
    <row r="308" spans="1:20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M308" s="25"/>
      <c r="N308" s="25"/>
      <c r="O308" s="25"/>
      <c r="P308" s="25"/>
      <c r="Q308" s="25"/>
      <c r="R308" s="25"/>
      <c r="S308" s="25"/>
      <c r="T308" s="25"/>
    </row>
    <row r="309" spans="1:20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M309" s="25"/>
      <c r="N309" s="25"/>
      <c r="O309" s="25"/>
      <c r="P309" s="25"/>
      <c r="Q309" s="25"/>
      <c r="R309" s="25"/>
      <c r="S309" s="25"/>
      <c r="T309" s="25"/>
    </row>
    <row r="310" spans="1:2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M310" s="25"/>
      <c r="N310" s="25"/>
      <c r="O310" s="25"/>
      <c r="P310" s="25"/>
      <c r="Q310" s="25"/>
      <c r="R310" s="25"/>
      <c r="S310" s="25"/>
      <c r="T310" s="25"/>
    </row>
    <row r="311" spans="1:20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M311" s="25"/>
      <c r="N311" s="25"/>
      <c r="O311" s="25"/>
      <c r="P311" s="25"/>
      <c r="Q311" s="25"/>
      <c r="R311" s="25"/>
      <c r="S311" s="25"/>
      <c r="T311" s="25"/>
    </row>
    <row r="312" spans="1:20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M312" s="25"/>
      <c r="N312" s="25"/>
      <c r="O312" s="25"/>
      <c r="P312" s="25"/>
      <c r="Q312" s="25"/>
      <c r="R312" s="25"/>
      <c r="S312" s="25"/>
      <c r="T312" s="25"/>
    </row>
    <row r="313" spans="1:20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M313" s="25"/>
      <c r="N313" s="25"/>
      <c r="O313" s="25"/>
      <c r="P313" s="25"/>
      <c r="Q313" s="25"/>
      <c r="R313" s="25"/>
      <c r="S313" s="25"/>
      <c r="T313" s="25"/>
    </row>
    <row r="314" spans="1:20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M314" s="25"/>
      <c r="N314" s="25"/>
      <c r="O314" s="25"/>
      <c r="P314" s="25"/>
      <c r="Q314" s="25"/>
      <c r="R314" s="25"/>
      <c r="S314" s="25"/>
      <c r="T314" s="25"/>
    </row>
    <row r="315" spans="1:20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M315" s="25"/>
      <c r="N315" s="25"/>
      <c r="O315" s="25"/>
      <c r="P315" s="25"/>
      <c r="Q315" s="25"/>
      <c r="R315" s="25"/>
      <c r="S315" s="25"/>
      <c r="T315" s="25"/>
    </row>
    <row r="316" spans="1:20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M316" s="25"/>
      <c r="N316" s="25"/>
      <c r="O316" s="25"/>
      <c r="P316" s="25"/>
      <c r="Q316" s="25"/>
      <c r="R316" s="25"/>
      <c r="S316" s="25"/>
      <c r="T316" s="25"/>
    </row>
    <row r="317" spans="1:20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M317" s="25"/>
      <c r="N317" s="25"/>
      <c r="O317" s="25"/>
      <c r="P317" s="25"/>
      <c r="Q317" s="25"/>
      <c r="R317" s="25"/>
      <c r="S317" s="25"/>
      <c r="T317" s="25"/>
    </row>
    <row r="318" spans="1:20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M318" s="25"/>
      <c r="N318" s="25"/>
      <c r="O318" s="25"/>
      <c r="P318" s="25"/>
      <c r="Q318" s="25"/>
      <c r="R318" s="25"/>
      <c r="S318" s="25"/>
      <c r="T318" s="25"/>
    </row>
    <row r="319" spans="1:20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M319" s="25"/>
      <c r="N319" s="25"/>
      <c r="O319" s="25"/>
      <c r="P319" s="25"/>
      <c r="Q319" s="25"/>
      <c r="R319" s="25"/>
      <c r="S319" s="25"/>
      <c r="T319" s="25"/>
    </row>
    <row r="320" spans="1: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M320" s="25"/>
      <c r="N320" s="25"/>
      <c r="O320" s="25"/>
      <c r="P320" s="25"/>
      <c r="Q320" s="25"/>
      <c r="R320" s="25"/>
      <c r="S320" s="25"/>
      <c r="T320" s="25"/>
    </row>
    <row r="321" spans="1:1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M321" s="25"/>
      <c r="N321" s="25"/>
      <c r="O321" s="25"/>
    </row>
    <row r="322" spans="1:1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M322" s="25"/>
      <c r="N322" s="25"/>
      <c r="O322" s="25"/>
    </row>
    <row r="323" spans="1:1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M323" s="25"/>
      <c r="N323" s="25"/>
      <c r="O323" s="25"/>
    </row>
    <row r="324" spans="1:1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M324" s="25"/>
      <c r="N324" s="25"/>
      <c r="O324" s="25"/>
    </row>
    <row r="325" spans="1:1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M325" s="25"/>
      <c r="N325" s="25"/>
      <c r="O325" s="25"/>
    </row>
    <row r="326" spans="1:1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M326" s="25"/>
      <c r="N326" s="25"/>
      <c r="O326" s="25"/>
    </row>
    <row r="327" spans="1:1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M327" s="25"/>
      <c r="N327" s="25"/>
      <c r="O327" s="25"/>
    </row>
    <row r="328" spans="1:1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M328" s="25"/>
      <c r="N328" s="25"/>
      <c r="O328" s="25"/>
    </row>
    <row r="329" spans="1:1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M329" s="25"/>
      <c r="N329" s="25"/>
      <c r="O329" s="25"/>
    </row>
    <row r="330" spans="1:1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M330" s="25"/>
      <c r="N330" s="25"/>
      <c r="O330" s="25"/>
    </row>
    <row r="331" spans="1:1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M331" s="25"/>
      <c r="N331" s="25"/>
      <c r="O331" s="25"/>
    </row>
    <row r="332" spans="1:1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M332" s="25"/>
      <c r="N332" s="25"/>
      <c r="O332" s="25"/>
    </row>
    <row r="333" spans="1:1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M333" s="25"/>
      <c r="N333" s="25"/>
      <c r="O333" s="25"/>
    </row>
    <row r="334" spans="1:1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M334" s="25"/>
      <c r="N334" s="25"/>
      <c r="O334" s="25"/>
    </row>
    <row r="335" spans="1:1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M335" s="25"/>
      <c r="N335" s="25"/>
      <c r="O335" s="25"/>
    </row>
    <row r="336" spans="1:1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M336" s="25"/>
      <c r="N336" s="25"/>
      <c r="O336" s="25"/>
    </row>
    <row r="337" spans="1:1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M337" s="25"/>
      <c r="N337" s="25"/>
      <c r="O337" s="25"/>
    </row>
    <row r="338" spans="1:1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M338" s="25"/>
      <c r="N338" s="25"/>
      <c r="O338" s="25"/>
    </row>
    <row r="339" spans="1:1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M339" s="25"/>
      <c r="N339" s="25"/>
      <c r="O339" s="25"/>
    </row>
    <row r="340" spans="1:1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M340" s="25"/>
      <c r="N340" s="25"/>
      <c r="O340" s="25"/>
    </row>
    <row r="341" spans="1:1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M341" s="25"/>
      <c r="N341" s="25"/>
      <c r="O341" s="25"/>
    </row>
    <row r="342" spans="1:1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M342" s="25"/>
      <c r="N342" s="25"/>
      <c r="O342" s="25"/>
    </row>
    <row r="343" spans="1:1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M343" s="25"/>
      <c r="N343" s="25"/>
      <c r="O343" s="25"/>
    </row>
    <row r="344" spans="1:1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M344" s="25"/>
      <c r="N344" s="25"/>
      <c r="O344" s="25"/>
    </row>
    <row r="345" spans="1:1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M345" s="25"/>
      <c r="N345" s="25"/>
      <c r="O345" s="25"/>
    </row>
    <row r="346" spans="1:1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M346" s="25"/>
      <c r="N346" s="25"/>
      <c r="O346" s="25"/>
    </row>
    <row r="347" spans="1:1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M347" s="25"/>
      <c r="N347" s="25"/>
      <c r="O347" s="25"/>
    </row>
    <row r="348" spans="1:1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M348" s="25"/>
      <c r="N348" s="25"/>
      <c r="O348" s="25"/>
    </row>
    <row r="349" spans="1:1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M349" s="25"/>
      <c r="N349" s="25"/>
      <c r="O349" s="25"/>
    </row>
    <row r="350" spans="1:1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M350" s="25"/>
      <c r="N350" s="25"/>
      <c r="O350" s="25"/>
    </row>
    <row r="351" spans="1:1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M351" s="25"/>
      <c r="N351" s="25"/>
      <c r="O351" s="25"/>
    </row>
    <row r="352" spans="1:1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M352" s="25"/>
      <c r="N352" s="25"/>
      <c r="O352" s="25"/>
    </row>
    <row r="353" spans="1:1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M353" s="25"/>
      <c r="N353" s="25"/>
      <c r="O353" s="25"/>
    </row>
    <row r="354" spans="1:1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M354" s="25"/>
      <c r="N354" s="25"/>
      <c r="O354" s="25"/>
    </row>
    <row r="355" spans="1:1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M355" s="25"/>
      <c r="N355" s="25"/>
      <c r="O355" s="25"/>
    </row>
    <row r="356" spans="1:1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M356" s="25"/>
      <c r="N356" s="25"/>
      <c r="O356" s="25"/>
    </row>
    <row r="357" spans="1:1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M357" s="25"/>
      <c r="N357" s="25"/>
      <c r="O357" s="25"/>
    </row>
    <row r="358" spans="1:1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M358" s="25"/>
      <c r="N358" s="25"/>
      <c r="O358" s="25"/>
    </row>
    <row r="359" spans="1:1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M359" s="25"/>
      <c r="N359" s="25"/>
      <c r="O359" s="25"/>
    </row>
    <row r="360" spans="1:1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M360" s="25"/>
      <c r="N360" s="25"/>
      <c r="O360" s="25"/>
    </row>
    <row r="361" spans="1:1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M361" s="25"/>
      <c r="N361" s="25"/>
      <c r="O361" s="25"/>
    </row>
    <row r="362" spans="1:1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M362" s="25"/>
      <c r="N362" s="25"/>
      <c r="O362" s="25"/>
    </row>
    <row r="363" spans="1:1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M363" s="25"/>
      <c r="N363" s="25"/>
      <c r="O363" s="25"/>
    </row>
    <row r="364" spans="1:1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M364" s="25"/>
      <c r="N364" s="25"/>
      <c r="O364" s="25"/>
    </row>
    <row r="365" spans="1:1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M365" s="25"/>
      <c r="N365" s="25"/>
      <c r="O365" s="25"/>
    </row>
    <row r="366" spans="1:1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M366" s="25"/>
      <c r="N366" s="25"/>
      <c r="O366" s="25"/>
    </row>
    <row r="367" spans="1:1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M367" s="25"/>
      <c r="N367" s="25"/>
      <c r="O367" s="25"/>
    </row>
    <row r="368" spans="1:1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M368" s="25"/>
      <c r="N368" s="25"/>
      <c r="O368" s="25"/>
    </row>
    <row r="369" spans="1:1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M369" s="25"/>
      <c r="N369" s="25"/>
      <c r="O369" s="25"/>
    </row>
    <row r="370" spans="1:1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M370" s="25"/>
      <c r="N370" s="25"/>
      <c r="O370" s="25"/>
    </row>
    <row r="371" spans="1:1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M371" s="25"/>
      <c r="N371" s="25"/>
      <c r="O371" s="25"/>
    </row>
    <row r="372" spans="1:1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M372" s="25"/>
      <c r="N372" s="25"/>
      <c r="O372" s="25"/>
    </row>
    <row r="373" spans="1:1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M373" s="25"/>
      <c r="N373" s="25"/>
      <c r="O373" s="25"/>
    </row>
    <row r="374" spans="1:1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M374" s="25"/>
      <c r="N374" s="25"/>
      <c r="O374" s="25"/>
    </row>
    <row r="375" spans="1:15">
      <c r="C375" s="25"/>
      <c r="D375" s="25"/>
      <c r="E375" s="25"/>
      <c r="F375" s="25"/>
      <c r="G375" s="25"/>
      <c r="H375" s="25"/>
      <c r="I375" s="25"/>
      <c r="J375" s="25"/>
      <c r="M375" s="25"/>
      <c r="N375" s="25"/>
      <c r="O375" s="25"/>
    </row>
    <row r="376" spans="1:15">
      <c r="C376" s="25"/>
      <c r="D376" s="25"/>
      <c r="E376" s="25"/>
      <c r="F376" s="25"/>
      <c r="G376" s="25"/>
      <c r="H376" s="25"/>
      <c r="I376" s="25"/>
      <c r="J376" s="25"/>
      <c r="M376" s="25"/>
      <c r="N376" s="25"/>
      <c r="O376" s="25"/>
    </row>
    <row r="377" spans="1:15">
      <c r="C377" s="25"/>
      <c r="D377" s="25"/>
      <c r="E377" s="25"/>
      <c r="F377" s="25"/>
      <c r="G377" s="25"/>
      <c r="H377" s="25"/>
      <c r="I377" s="25"/>
      <c r="J377" s="25"/>
      <c r="M377" s="25"/>
      <c r="N377" s="25"/>
      <c r="O377" s="25"/>
    </row>
    <row r="378" spans="1:15">
      <c r="C378" s="25"/>
      <c r="D378" s="25"/>
      <c r="E378" s="25"/>
      <c r="F378" s="25"/>
      <c r="G378" s="25"/>
      <c r="H378" s="25"/>
      <c r="I378" s="25"/>
      <c r="J378" s="25"/>
      <c r="M378" s="25"/>
      <c r="N378" s="25"/>
      <c r="O378" s="25"/>
    </row>
    <row r="379" spans="1:15">
      <c r="C379" s="25"/>
      <c r="D379" s="25"/>
      <c r="E379" s="25"/>
      <c r="F379" s="25"/>
      <c r="G379" s="25"/>
      <c r="H379" s="25"/>
      <c r="I379" s="25"/>
      <c r="J379" s="25"/>
      <c r="M379" s="25"/>
      <c r="N379" s="25"/>
      <c r="O379" s="25"/>
    </row>
    <row r="380" spans="1:15">
      <c r="C380" s="25"/>
      <c r="D380" s="25"/>
      <c r="E380" s="25"/>
      <c r="F380" s="25"/>
      <c r="G380" s="25"/>
      <c r="H380" s="25"/>
      <c r="I380" s="25"/>
      <c r="J380" s="25"/>
      <c r="M380" s="25"/>
      <c r="N380" s="25"/>
      <c r="O380" s="25"/>
    </row>
    <row r="381" spans="1:15">
      <c r="C381" s="25"/>
      <c r="D381" s="25"/>
      <c r="E381" s="25"/>
      <c r="F381" s="25"/>
      <c r="G381" s="25"/>
      <c r="H381" s="25"/>
      <c r="I381" s="25"/>
      <c r="J381" s="25"/>
      <c r="M381" s="25"/>
      <c r="N381" s="25"/>
      <c r="O381" s="25"/>
    </row>
    <row r="382" spans="1:15">
      <c r="C382" s="25"/>
      <c r="D382" s="25"/>
      <c r="E382" s="25"/>
      <c r="F382" s="25"/>
      <c r="G382" s="25"/>
      <c r="H382" s="25"/>
      <c r="I382" s="25"/>
      <c r="J382" s="25"/>
      <c r="M382" s="25"/>
      <c r="N382" s="25"/>
      <c r="O382" s="25"/>
    </row>
    <row r="383" spans="1:15">
      <c r="C383" s="25"/>
      <c r="D383" s="25"/>
      <c r="E383" s="25"/>
      <c r="F383" s="25"/>
      <c r="G383" s="25"/>
      <c r="H383" s="25"/>
      <c r="I383" s="25"/>
      <c r="J383" s="25"/>
      <c r="M383" s="25"/>
      <c r="N383" s="25"/>
      <c r="O383" s="25"/>
    </row>
    <row r="384" spans="1:15">
      <c r="C384" s="25"/>
      <c r="D384" s="25"/>
      <c r="E384" s="25"/>
      <c r="F384" s="25"/>
      <c r="G384" s="25"/>
      <c r="H384" s="25"/>
      <c r="I384" s="25"/>
      <c r="J384" s="25"/>
      <c r="M384" s="25"/>
      <c r="N384" s="25"/>
      <c r="O384" s="25"/>
    </row>
    <row r="385" spans="3:15">
      <c r="C385" s="25"/>
      <c r="D385" s="25"/>
      <c r="E385" s="25"/>
      <c r="F385" s="25"/>
      <c r="G385" s="25"/>
      <c r="H385" s="25"/>
      <c r="I385" s="25"/>
      <c r="J385" s="25"/>
      <c r="M385" s="25"/>
      <c r="N385" s="25"/>
      <c r="O385" s="25"/>
    </row>
    <row r="386" spans="3:15">
      <c r="C386" s="25"/>
      <c r="D386" s="25"/>
      <c r="E386" s="25"/>
      <c r="F386" s="25"/>
      <c r="G386" s="25"/>
      <c r="H386" s="25"/>
      <c r="I386" s="25"/>
      <c r="J386" s="25"/>
      <c r="M386" s="25"/>
      <c r="N386" s="25"/>
      <c r="O386" s="25"/>
    </row>
    <row r="387" spans="3:15">
      <c r="C387" s="25"/>
      <c r="D387" s="25"/>
      <c r="E387" s="25"/>
      <c r="F387" s="25"/>
      <c r="G387" s="25"/>
      <c r="H387" s="25"/>
      <c r="I387" s="25"/>
      <c r="J387" s="25"/>
      <c r="M387" s="25"/>
      <c r="N387" s="25"/>
      <c r="O387" s="25"/>
    </row>
    <row r="388" spans="3:15">
      <c r="C388" s="25"/>
      <c r="D388" s="25"/>
      <c r="E388" s="25"/>
      <c r="F388" s="25"/>
      <c r="G388" s="25"/>
      <c r="H388" s="25"/>
      <c r="I388" s="25"/>
      <c r="J388" s="25"/>
      <c r="M388" s="25"/>
      <c r="N388" s="25"/>
      <c r="O388" s="25"/>
    </row>
    <row r="389" spans="3:15">
      <c r="C389" s="25"/>
      <c r="D389" s="25"/>
      <c r="E389" s="25"/>
      <c r="F389" s="25"/>
      <c r="G389" s="25"/>
      <c r="H389" s="25"/>
      <c r="I389" s="25"/>
      <c r="J389" s="25"/>
      <c r="M389" s="25"/>
      <c r="N389" s="25"/>
      <c r="O389" s="25"/>
    </row>
    <row r="390" spans="3:15">
      <c r="C390" s="25"/>
      <c r="D390" s="25"/>
      <c r="E390" s="25"/>
      <c r="F390" s="25"/>
      <c r="G390" s="25"/>
      <c r="H390" s="25"/>
      <c r="I390" s="25"/>
      <c r="J390" s="25"/>
      <c r="M390" s="25"/>
      <c r="N390" s="25"/>
      <c r="O390" s="25"/>
    </row>
    <row r="391" spans="3:15">
      <c r="C391" s="25"/>
      <c r="D391" s="25"/>
      <c r="E391" s="25"/>
      <c r="F391" s="25"/>
      <c r="G391" s="25"/>
      <c r="H391" s="25"/>
      <c r="I391" s="25"/>
      <c r="J391" s="25"/>
      <c r="M391" s="25"/>
      <c r="N391" s="25"/>
      <c r="O391" s="25"/>
    </row>
    <row r="392" spans="3:15">
      <c r="C392" s="25"/>
      <c r="D392" s="25"/>
      <c r="E392" s="25"/>
      <c r="F392" s="25"/>
      <c r="G392" s="25"/>
      <c r="H392" s="25"/>
      <c r="I392" s="25"/>
      <c r="J392" s="25"/>
      <c r="M392" s="25"/>
      <c r="N392" s="25"/>
      <c r="O392" s="25"/>
    </row>
    <row r="393" spans="3:15">
      <c r="C393" s="25"/>
      <c r="D393" s="25"/>
      <c r="E393" s="25"/>
      <c r="F393" s="25"/>
      <c r="G393" s="25"/>
      <c r="H393" s="25"/>
      <c r="I393" s="25"/>
      <c r="J393" s="25"/>
      <c r="M393" s="25"/>
      <c r="N393" s="25"/>
      <c r="O393" s="25"/>
    </row>
    <row r="394" spans="3:15">
      <c r="C394" s="25"/>
      <c r="D394" s="25"/>
      <c r="E394" s="25"/>
      <c r="F394" s="25"/>
      <c r="G394" s="25"/>
      <c r="H394" s="25"/>
      <c r="I394" s="25"/>
      <c r="J394" s="25"/>
      <c r="M394" s="25"/>
      <c r="N394" s="25"/>
      <c r="O394" s="25"/>
    </row>
    <row r="395" spans="3:15">
      <c r="C395" s="25"/>
      <c r="D395" s="25"/>
      <c r="E395" s="25"/>
      <c r="F395" s="25"/>
      <c r="G395" s="25"/>
      <c r="H395" s="25"/>
      <c r="I395" s="25"/>
      <c r="J395" s="25"/>
      <c r="M395" s="25"/>
      <c r="N395" s="25"/>
      <c r="O395" s="25"/>
    </row>
    <row r="396" spans="3:15">
      <c r="C396" s="25"/>
      <c r="D396" s="25"/>
      <c r="E396" s="25"/>
      <c r="F396" s="25"/>
      <c r="G396" s="25"/>
      <c r="H396" s="25"/>
      <c r="I396" s="25"/>
      <c r="J396" s="25"/>
      <c r="M396" s="25"/>
      <c r="N396" s="25"/>
      <c r="O396" s="25"/>
    </row>
    <row r="397" spans="3:15">
      <c r="C397" s="25"/>
      <c r="D397" s="25"/>
      <c r="E397" s="25"/>
      <c r="F397" s="25"/>
      <c r="G397" s="25"/>
      <c r="H397" s="25"/>
      <c r="I397" s="25"/>
      <c r="J397" s="25"/>
      <c r="M397" s="25"/>
      <c r="N397" s="25"/>
      <c r="O397" s="25"/>
    </row>
    <row r="398" spans="3:15">
      <c r="C398" s="25"/>
      <c r="D398" s="25"/>
      <c r="E398" s="25"/>
      <c r="F398" s="25"/>
      <c r="G398" s="25"/>
      <c r="H398" s="25"/>
      <c r="I398" s="25"/>
      <c r="J398" s="25"/>
      <c r="M398" s="25"/>
      <c r="N398" s="25"/>
      <c r="O398" s="25"/>
    </row>
    <row r="399" spans="3:15">
      <c r="C399" s="25"/>
      <c r="D399" s="25"/>
      <c r="E399" s="25"/>
      <c r="F399" s="25"/>
      <c r="G399" s="25"/>
      <c r="H399" s="25"/>
      <c r="I399" s="25"/>
      <c r="J399" s="25"/>
      <c r="M399" s="25"/>
      <c r="N399" s="25"/>
      <c r="O399" s="25"/>
    </row>
    <row r="400" spans="3:15">
      <c r="C400" s="25"/>
      <c r="D400" s="25"/>
      <c r="E400" s="25"/>
      <c r="F400" s="25"/>
      <c r="G400" s="25"/>
      <c r="H400" s="25"/>
      <c r="I400" s="25"/>
      <c r="J400" s="25"/>
      <c r="M400" s="25"/>
      <c r="N400" s="25"/>
      <c r="O400" s="25"/>
    </row>
    <row r="401" spans="3:15">
      <c r="C401" s="25"/>
      <c r="D401" s="25"/>
      <c r="E401" s="25"/>
      <c r="F401" s="25"/>
      <c r="G401" s="25"/>
      <c r="H401" s="25"/>
      <c r="I401" s="25"/>
      <c r="J401" s="25"/>
      <c r="M401" s="25"/>
      <c r="N401" s="25"/>
      <c r="O401" s="25"/>
    </row>
    <row r="402" spans="3:15">
      <c r="C402" s="25"/>
      <c r="D402" s="25"/>
      <c r="E402" s="25"/>
      <c r="F402" s="25"/>
      <c r="G402" s="25"/>
      <c r="H402" s="25"/>
      <c r="I402" s="25"/>
      <c r="J402" s="25"/>
      <c r="M402" s="25"/>
      <c r="N402" s="25"/>
      <c r="O402" s="25"/>
    </row>
    <row r="403" spans="3:15">
      <c r="C403" s="25"/>
      <c r="D403" s="25"/>
      <c r="E403" s="25"/>
      <c r="F403" s="25"/>
      <c r="G403" s="25"/>
      <c r="H403" s="25"/>
      <c r="I403" s="25"/>
      <c r="J403" s="25"/>
      <c r="M403" s="25"/>
      <c r="N403" s="25"/>
      <c r="O403" s="25"/>
    </row>
    <row r="404" spans="3:15">
      <c r="C404" s="25"/>
      <c r="D404" s="25"/>
      <c r="E404" s="25"/>
      <c r="F404" s="25"/>
      <c r="G404" s="25"/>
      <c r="H404" s="25"/>
      <c r="I404" s="25"/>
      <c r="J404" s="25"/>
      <c r="M404" s="25"/>
      <c r="N404" s="25"/>
      <c r="O404" s="25"/>
    </row>
    <row r="405" spans="3:15">
      <c r="C405" s="25"/>
      <c r="D405" s="25"/>
      <c r="E405" s="25"/>
      <c r="F405" s="25"/>
      <c r="G405" s="25"/>
      <c r="H405" s="25"/>
      <c r="I405" s="25"/>
      <c r="J405" s="25"/>
      <c r="M405" s="25"/>
      <c r="N405" s="25"/>
      <c r="O405" s="25"/>
    </row>
    <row r="406" spans="3:15">
      <c r="C406" s="25"/>
      <c r="D406" s="25"/>
      <c r="E406" s="25"/>
      <c r="F406" s="25"/>
      <c r="G406" s="25"/>
      <c r="H406" s="25"/>
      <c r="I406" s="25"/>
      <c r="J406" s="25"/>
      <c r="M406" s="25"/>
      <c r="N406" s="25"/>
      <c r="O406" s="25"/>
    </row>
    <row r="407" spans="3:15">
      <c r="C407" s="25"/>
      <c r="D407" s="25"/>
      <c r="E407" s="25"/>
      <c r="F407" s="25"/>
      <c r="G407" s="25"/>
      <c r="H407" s="25"/>
      <c r="I407" s="25"/>
      <c r="J407" s="25"/>
      <c r="M407" s="25"/>
      <c r="N407" s="25"/>
      <c r="O407" s="25"/>
    </row>
    <row r="408" spans="3:15">
      <c r="C408" s="25"/>
      <c r="D408" s="25"/>
      <c r="E408" s="25"/>
      <c r="F408" s="25"/>
      <c r="G408" s="25"/>
      <c r="H408" s="25"/>
      <c r="I408" s="25"/>
      <c r="J408" s="25"/>
      <c r="M408" s="25"/>
      <c r="N408" s="25"/>
      <c r="O408" s="25"/>
    </row>
    <row r="409" spans="3:15">
      <c r="C409" s="25"/>
      <c r="D409" s="25"/>
      <c r="E409" s="25"/>
      <c r="F409" s="25"/>
      <c r="G409" s="25"/>
      <c r="H409" s="25"/>
      <c r="I409" s="25"/>
      <c r="J409" s="25"/>
      <c r="M409" s="25"/>
      <c r="N409" s="25"/>
      <c r="O409" s="25"/>
    </row>
    <row r="410" spans="3:15">
      <c r="C410" s="25"/>
      <c r="D410" s="25"/>
      <c r="E410" s="25"/>
      <c r="F410" s="25"/>
      <c r="G410" s="25"/>
      <c r="H410" s="25"/>
      <c r="I410" s="25"/>
      <c r="J410" s="25"/>
      <c r="M410" s="25"/>
      <c r="N410" s="25"/>
      <c r="O410" s="25"/>
    </row>
    <row r="411" spans="3:15">
      <c r="C411" s="25"/>
      <c r="D411" s="25"/>
      <c r="E411" s="25"/>
      <c r="F411" s="25"/>
      <c r="G411" s="25"/>
      <c r="H411" s="25"/>
      <c r="I411" s="25"/>
      <c r="J411" s="25"/>
      <c r="M411" s="25"/>
      <c r="N411" s="25"/>
      <c r="O411" s="25"/>
    </row>
    <row r="412" spans="3:15">
      <c r="C412" s="25"/>
      <c r="D412" s="25"/>
      <c r="E412" s="25"/>
      <c r="F412" s="25"/>
      <c r="G412" s="25"/>
      <c r="H412" s="25"/>
      <c r="I412" s="25"/>
      <c r="J412" s="25"/>
      <c r="M412" s="25"/>
      <c r="N412" s="25"/>
      <c r="O412" s="25"/>
    </row>
    <row r="413" spans="3:15">
      <c r="C413" s="25"/>
      <c r="D413" s="25"/>
      <c r="E413" s="25"/>
      <c r="F413" s="25"/>
      <c r="G413" s="25"/>
      <c r="H413" s="25"/>
      <c r="I413" s="25"/>
      <c r="J413" s="25"/>
      <c r="M413" s="25"/>
      <c r="N413" s="25"/>
      <c r="O413" s="25"/>
    </row>
    <row r="414" spans="3:15">
      <c r="C414" s="25"/>
      <c r="D414" s="25"/>
      <c r="E414" s="25"/>
      <c r="F414" s="25"/>
      <c r="G414" s="25"/>
      <c r="H414" s="25"/>
      <c r="I414" s="25"/>
      <c r="J414" s="25"/>
      <c r="M414" s="25"/>
      <c r="N414" s="25"/>
      <c r="O414" s="25"/>
    </row>
    <row r="415" spans="3:15">
      <c r="C415" s="25"/>
      <c r="D415" s="25"/>
      <c r="E415" s="25"/>
      <c r="F415" s="25"/>
      <c r="G415" s="25"/>
      <c r="H415" s="25"/>
      <c r="I415" s="25"/>
      <c r="J415" s="25"/>
      <c r="M415" s="25"/>
      <c r="N415" s="25"/>
      <c r="O415" s="25"/>
    </row>
    <row r="416" spans="3:15">
      <c r="C416" s="25"/>
      <c r="D416" s="25"/>
      <c r="E416" s="25"/>
      <c r="F416" s="25"/>
      <c r="G416" s="25"/>
      <c r="H416" s="25"/>
      <c r="I416" s="25"/>
      <c r="J416" s="25"/>
      <c r="M416" s="25"/>
      <c r="N416" s="25"/>
      <c r="O416" s="25"/>
    </row>
    <row r="417" spans="3:15">
      <c r="C417" s="25"/>
      <c r="D417" s="25"/>
      <c r="E417" s="25"/>
      <c r="F417" s="25"/>
      <c r="G417" s="25"/>
      <c r="H417" s="25"/>
      <c r="I417" s="25"/>
      <c r="J417" s="25"/>
      <c r="M417" s="25"/>
      <c r="N417" s="25"/>
      <c r="O417" s="25"/>
    </row>
    <row r="418" spans="3:15">
      <c r="C418" s="25"/>
      <c r="D418" s="25"/>
      <c r="E418" s="25"/>
      <c r="F418" s="25"/>
      <c r="G418" s="25"/>
      <c r="H418" s="25"/>
      <c r="I418" s="25"/>
      <c r="J418" s="25"/>
      <c r="M418" s="25"/>
      <c r="N418" s="25"/>
      <c r="O418" s="25"/>
    </row>
    <row r="419" spans="3:15">
      <c r="C419" s="25"/>
      <c r="D419" s="25"/>
      <c r="E419" s="25"/>
      <c r="F419" s="25"/>
      <c r="G419" s="25"/>
      <c r="H419" s="25"/>
      <c r="I419" s="25"/>
      <c r="J419" s="25"/>
      <c r="M419" s="25"/>
      <c r="N419" s="25"/>
      <c r="O419" s="25"/>
    </row>
    <row r="420" spans="3:15">
      <c r="C420" s="25"/>
      <c r="D420" s="25"/>
      <c r="E420" s="25"/>
      <c r="F420" s="25"/>
      <c r="G420" s="25"/>
      <c r="H420" s="25"/>
      <c r="I420" s="25"/>
      <c r="J420" s="25"/>
      <c r="M420" s="25"/>
      <c r="N420" s="25"/>
      <c r="O420" s="25"/>
    </row>
    <row r="421" spans="3:15">
      <c r="C421" s="25"/>
      <c r="D421" s="25"/>
      <c r="E421" s="25"/>
      <c r="F421" s="25"/>
      <c r="G421" s="25"/>
      <c r="H421" s="25"/>
      <c r="I421" s="25"/>
      <c r="J421" s="25"/>
      <c r="M421" s="25"/>
      <c r="N421" s="25"/>
      <c r="O421" s="25"/>
    </row>
    <row r="422" spans="3:15">
      <c r="C422" s="25"/>
      <c r="D422" s="25"/>
      <c r="E422" s="25"/>
      <c r="F422" s="25"/>
      <c r="G422" s="25"/>
      <c r="H422" s="25"/>
      <c r="I422" s="25"/>
      <c r="J422" s="25"/>
      <c r="M422" s="25"/>
      <c r="N422" s="25"/>
      <c r="O422" s="25"/>
    </row>
    <row r="423" spans="3:15">
      <c r="C423" s="25"/>
      <c r="D423" s="25"/>
      <c r="E423" s="25"/>
      <c r="F423" s="25"/>
      <c r="G423" s="25"/>
      <c r="H423" s="25"/>
      <c r="I423" s="25"/>
      <c r="J423" s="25"/>
      <c r="M423" s="25"/>
      <c r="N423" s="25"/>
      <c r="O423" s="25"/>
    </row>
    <row r="424" spans="3:15">
      <c r="C424" s="25"/>
      <c r="D424" s="25"/>
      <c r="E424" s="25"/>
      <c r="F424" s="25"/>
      <c r="G424" s="25"/>
      <c r="H424" s="25"/>
      <c r="I424" s="25"/>
      <c r="J424" s="25"/>
      <c r="M424" s="25"/>
      <c r="N424" s="25"/>
      <c r="O424" s="25"/>
    </row>
    <row r="425" spans="3:15">
      <c r="C425" s="25"/>
      <c r="D425" s="25"/>
      <c r="E425" s="25"/>
      <c r="F425" s="25"/>
      <c r="G425" s="25"/>
      <c r="H425" s="25"/>
      <c r="I425" s="25"/>
      <c r="J425" s="25"/>
      <c r="M425" s="25"/>
      <c r="N425" s="25"/>
      <c r="O425" s="25"/>
    </row>
    <row r="426" spans="3:15">
      <c r="C426" s="25"/>
      <c r="D426" s="25"/>
      <c r="E426" s="25"/>
      <c r="F426" s="25"/>
      <c r="G426" s="25"/>
      <c r="H426" s="25"/>
      <c r="I426" s="25"/>
      <c r="J426" s="25"/>
      <c r="M426" s="25"/>
      <c r="N426" s="25"/>
      <c r="O426" s="25"/>
    </row>
    <row r="427" spans="3:15">
      <c r="C427" s="25"/>
      <c r="D427" s="25"/>
      <c r="E427" s="25"/>
      <c r="F427" s="25"/>
      <c r="G427" s="25"/>
      <c r="H427" s="25"/>
      <c r="I427" s="25"/>
      <c r="J427" s="25"/>
      <c r="M427" s="25"/>
      <c r="N427" s="25"/>
      <c r="O427" s="25"/>
    </row>
    <row r="428" spans="3:15">
      <c r="C428" s="25"/>
      <c r="D428" s="25"/>
      <c r="E428" s="25"/>
      <c r="F428" s="25"/>
      <c r="G428" s="25"/>
      <c r="H428" s="25"/>
      <c r="I428" s="25"/>
      <c r="J428" s="25"/>
      <c r="M428" s="25"/>
      <c r="N428" s="25"/>
      <c r="O428" s="25"/>
    </row>
    <row r="429" spans="3:15">
      <c r="C429" s="25"/>
      <c r="D429" s="25"/>
      <c r="E429" s="25"/>
      <c r="F429" s="25"/>
      <c r="G429" s="25"/>
      <c r="H429" s="25"/>
      <c r="I429" s="25"/>
      <c r="J429" s="25"/>
      <c r="M429" s="25"/>
      <c r="N429" s="25"/>
      <c r="O429" s="25"/>
    </row>
    <row r="430" spans="3:15">
      <c r="C430" s="25"/>
      <c r="D430" s="25"/>
      <c r="E430" s="25"/>
      <c r="F430" s="25"/>
      <c r="G430" s="25"/>
      <c r="H430" s="25"/>
      <c r="I430" s="25"/>
      <c r="J430" s="25"/>
      <c r="M430" s="25"/>
      <c r="N430" s="25"/>
      <c r="O430" s="25"/>
    </row>
    <row r="431" spans="3:15">
      <c r="C431" s="25"/>
      <c r="D431" s="25"/>
      <c r="E431" s="25"/>
      <c r="F431" s="25"/>
      <c r="G431" s="25"/>
      <c r="H431" s="25"/>
      <c r="I431" s="25"/>
      <c r="J431" s="25"/>
      <c r="M431" s="25"/>
      <c r="N431" s="25"/>
      <c r="O431" s="25"/>
    </row>
    <row r="432" spans="3:15">
      <c r="C432" s="25"/>
      <c r="D432" s="25"/>
      <c r="E432" s="25"/>
      <c r="F432" s="25"/>
      <c r="G432" s="25"/>
      <c r="H432" s="25"/>
      <c r="I432" s="25"/>
      <c r="J432" s="25"/>
      <c r="M432" s="25"/>
      <c r="N432" s="25"/>
      <c r="O432" s="25"/>
    </row>
    <row r="433" spans="3:15">
      <c r="C433" s="25"/>
      <c r="D433" s="25"/>
      <c r="E433" s="25"/>
      <c r="F433" s="25"/>
      <c r="G433" s="25"/>
      <c r="H433" s="25"/>
      <c r="I433" s="25"/>
      <c r="J433" s="25"/>
      <c r="M433" s="25"/>
      <c r="N433" s="25"/>
      <c r="O433" s="25"/>
    </row>
    <row r="434" spans="3:15">
      <c r="C434" s="25"/>
      <c r="D434" s="25"/>
      <c r="E434" s="25"/>
      <c r="F434" s="25"/>
      <c r="G434" s="25"/>
      <c r="H434" s="25"/>
      <c r="I434" s="25"/>
      <c r="J434" s="25"/>
      <c r="M434" s="25"/>
      <c r="N434" s="25"/>
      <c r="O434" s="25"/>
    </row>
    <row r="435" spans="3:15">
      <c r="C435" s="25"/>
      <c r="D435" s="25"/>
      <c r="E435" s="25"/>
      <c r="F435" s="25"/>
      <c r="G435" s="25"/>
      <c r="H435" s="25"/>
      <c r="I435" s="25"/>
      <c r="J435" s="25"/>
      <c r="M435" s="25"/>
      <c r="N435" s="25"/>
      <c r="O435" s="25"/>
    </row>
    <row r="436" spans="3:15">
      <c r="C436" s="25"/>
      <c r="D436" s="25"/>
      <c r="E436" s="25"/>
      <c r="F436" s="25"/>
      <c r="G436" s="25"/>
      <c r="H436" s="25"/>
      <c r="I436" s="25"/>
      <c r="J436" s="25"/>
      <c r="M436" s="25"/>
      <c r="N436" s="25"/>
      <c r="O436" s="25"/>
    </row>
    <row r="437" spans="3:15">
      <c r="C437" s="25"/>
      <c r="D437" s="25"/>
      <c r="E437" s="25"/>
      <c r="F437" s="25"/>
      <c r="G437" s="25"/>
      <c r="H437" s="25"/>
      <c r="I437" s="25"/>
      <c r="J437" s="25"/>
      <c r="M437" s="25"/>
      <c r="N437" s="25"/>
      <c r="O437" s="25"/>
    </row>
    <row r="438" spans="3:15">
      <c r="C438" s="25"/>
      <c r="D438" s="25"/>
      <c r="E438" s="25"/>
      <c r="F438" s="25"/>
      <c r="G438" s="25"/>
      <c r="H438" s="25"/>
      <c r="I438" s="25"/>
      <c r="J438" s="25"/>
      <c r="M438" s="25"/>
      <c r="N438" s="25"/>
      <c r="O438" s="25"/>
    </row>
    <row r="439" spans="3:15">
      <c r="C439" s="25"/>
      <c r="D439" s="25"/>
      <c r="E439" s="25"/>
      <c r="F439" s="25"/>
      <c r="G439" s="25"/>
      <c r="H439" s="25"/>
      <c r="I439" s="25"/>
      <c r="J439" s="25"/>
      <c r="M439" s="25"/>
      <c r="N439" s="25"/>
      <c r="O439" s="25"/>
    </row>
    <row r="440" spans="3:15">
      <c r="C440" s="25"/>
      <c r="D440" s="25"/>
      <c r="E440" s="25"/>
      <c r="F440" s="25"/>
      <c r="G440" s="25"/>
      <c r="H440" s="25"/>
      <c r="I440" s="25"/>
      <c r="J440" s="25"/>
      <c r="M440" s="25"/>
      <c r="N440" s="25"/>
      <c r="O440" s="25"/>
    </row>
    <row r="441" spans="3:15">
      <c r="C441" s="25"/>
      <c r="D441" s="25"/>
      <c r="E441" s="25"/>
      <c r="F441" s="25"/>
      <c r="G441" s="25"/>
      <c r="H441" s="25"/>
      <c r="I441" s="25"/>
      <c r="J441" s="25"/>
      <c r="M441" s="25"/>
      <c r="N441" s="25"/>
      <c r="O441" s="25"/>
    </row>
    <row r="442" spans="3:15">
      <c r="C442" s="25"/>
      <c r="D442" s="25"/>
      <c r="E442" s="25"/>
      <c r="F442" s="25"/>
      <c r="G442" s="25"/>
      <c r="H442" s="25"/>
      <c r="I442" s="25"/>
      <c r="J442" s="25"/>
      <c r="M442" s="25"/>
      <c r="N442" s="25"/>
      <c r="O442" s="25"/>
    </row>
    <row r="443" spans="3:15">
      <c r="C443" s="25"/>
      <c r="D443" s="25"/>
      <c r="E443" s="25"/>
      <c r="F443" s="25"/>
      <c r="G443" s="25"/>
      <c r="H443" s="25"/>
      <c r="I443" s="25"/>
      <c r="J443" s="25"/>
      <c r="M443" s="25"/>
      <c r="N443" s="25"/>
      <c r="O443" s="25"/>
    </row>
    <row r="444" spans="3:15">
      <c r="C444" s="25"/>
      <c r="D444" s="25"/>
      <c r="E444" s="25"/>
      <c r="F444" s="25"/>
      <c r="G444" s="25"/>
      <c r="H444" s="25"/>
      <c r="I444" s="25"/>
      <c r="J444" s="25"/>
      <c r="M444" s="25"/>
      <c r="N444" s="25"/>
      <c r="O444" s="25"/>
    </row>
    <row r="445" spans="3:15">
      <c r="C445" s="25"/>
      <c r="D445" s="25"/>
      <c r="E445" s="25"/>
      <c r="F445" s="25"/>
      <c r="G445" s="25"/>
      <c r="H445" s="25"/>
      <c r="I445" s="25"/>
      <c r="J445" s="25"/>
      <c r="M445" s="25"/>
      <c r="N445" s="25"/>
      <c r="O445" s="25"/>
    </row>
    <row r="446" spans="3:15">
      <c r="C446" s="25"/>
      <c r="D446" s="25"/>
      <c r="E446" s="25"/>
      <c r="F446" s="25"/>
      <c r="G446" s="25"/>
      <c r="H446" s="25"/>
      <c r="I446" s="25"/>
      <c r="J446" s="25"/>
      <c r="M446" s="25"/>
      <c r="N446" s="25"/>
      <c r="O446" s="25"/>
    </row>
    <row r="447" spans="3:15">
      <c r="C447" s="25"/>
      <c r="D447" s="25"/>
      <c r="E447" s="25"/>
      <c r="F447" s="25"/>
      <c r="G447" s="25"/>
      <c r="H447" s="25"/>
      <c r="I447" s="25"/>
      <c r="J447" s="25"/>
      <c r="M447" s="25"/>
      <c r="N447" s="25"/>
      <c r="O447" s="25"/>
    </row>
    <row r="448" spans="3:15">
      <c r="C448" s="25"/>
      <c r="D448" s="25"/>
      <c r="E448" s="25"/>
      <c r="F448" s="25"/>
      <c r="G448" s="25"/>
      <c r="H448" s="25"/>
      <c r="I448" s="25"/>
      <c r="J448" s="25"/>
      <c r="M448" s="25"/>
      <c r="N448" s="25"/>
      <c r="O448" s="25"/>
    </row>
    <row r="449" spans="3:15">
      <c r="C449" s="25"/>
      <c r="D449" s="25"/>
      <c r="E449" s="25"/>
      <c r="F449" s="25"/>
      <c r="G449" s="25"/>
      <c r="H449" s="25"/>
      <c r="I449" s="25"/>
      <c r="J449" s="25"/>
      <c r="M449" s="25"/>
      <c r="N449" s="25"/>
      <c r="O449" s="25"/>
    </row>
    <row r="450" spans="3:15">
      <c r="C450" s="25"/>
      <c r="D450" s="25"/>
      <c r="E450" s="25"/>
      <c r="F450" s="25"/>
      <c r="G450" s="25"/>
      <c r="H450" s="25"/>
      <c r="I450" s="25"/>
      <c r="J450" s="25"/>
      <c r="M450" s="25"/>
      <c r="N450" s="25"/>
      <c r="O450" s="25"/>
    </row>
    <row r="451" spans="3:15">
      <c r="C451" s="25"/>
      <c r="D451" s="25"/>
      <c r="E451" s="25"/>
      <c r="F451" s="25"/>
      <c r="G451" s="25"/>
      <c r="H451" s="25"/>
      <c r="I451" s="25"/>
      <c r="J451" s="25"/>
      <c r="M451" s="25"/>
      <c r="N451" s="25"/>
      <c r="O451" s="25"/>
    </row>
    <row r="452" spans="3:15">
      <c r="C452" s="25"/>
      <c r="D452" s="25"/>
      <c r="E452" s="25"/>
      <c r="F452" s="25"/>
      <c r="G452" s="25"/>
      <c r="H452" s="25"/>
      <c r="I452" s="25"/>
      <c r="J452" s="25"/>
      <c r="M452" s="25"/>
      <c r="N452" s="25"/>
      <c r="O452" s="25"/>
    </row>
    <row r="453" spans="3:15">
      <c r="C453" s="25"/>
      <c r="D453" s="25"/>
      <c r="E453" s="25"/>
      <c r="F453" s="25"/>
      <c r="G453" s="25"/>
      <c r="H453" s="25"/>
      <c r="I453" s="25"/>
      <c r="J453" s="25"/>
      <c r="M453" s="25"/>
      <c r="N453" s="25"/>
      <c r="O453" s="25"/>
    </row>
    <row r="454" spans="3:15">
      <c r="C454" s="25"/>
      <c r="D454" s="25"/>
      <c r="E454" s="25"/>
      <c r="F454" s="25"/>
      <c r="G454" s="25"/>
      <c r="H454" s="25"/>
      <c r="I454" s="25"/>
      <c r="J454" s="25"/>
      <c r="M454" s="25"/>
      <c r="N454" s="25"/>
      <c r="O454" s="25"/>
    </row>
    <row r="455" spans="3:15">
      <c r="C455" s="25"/>
      <c r="D455" s="25"/>
      <c r="E455" s="25"/>
      <c r="F455" s="25"/>
      <c r="G455" s="25"/>
      <c r="H455" s="25"/>
      <c r="I455" s="25"/>
      <c r="J455" s="25"/>
      <c r="M455" s="25"/>
      <c r="N455" s="25"/>
      <c r="O455" s="25"/>
    </row>
    <row r="456" spans="3:15">
      <c r="C456" s="25"/>
      <c r="D456" s="25"/>
      <c r="E456" s="25"/>
      <c r="F456" s="25"/>
      <c r="G456" s="25"/>
      <c r="H456" s="25"/>
      <c r="I456" s="25"/>
      <c r="J456" s="25"/>
      <c r="M456" s="25"/>
      <c r="N456" s="25"/>
      <c r="O456" s="25"/>
    </row>
    <row r="457" spans="3:15">
      <c r="C457" s="25"/>
      <c r="D457" s="25"/>
      <c r="E457" s="25"/>
      <c r="F457" s="25"/>
      <c r="G457" s="25"/>
      <c r="H457" s="25"/>
      <c r="I457" s="25"/>
      <c r="J457" s="25"/>
      <c r="M457" s="25"/>
      <c r="N457" s="25"/>
      <c r="O457" s="25"/>
    </row>
    <row r="458" spans="3:15">
      <c r="C458" s="25"/>
      <c r="D458" s="25"/>
      <c r="E458" s="25"/>
      <c r="F458" s="25"/>
      <c r="G458" s="25"/>
      <c r="H458" s="25"/>
      <c r="I458" s="25"/>
      <c r="J458" s="25"/>
      <c r="M458" s="25"/>
      <c r="N458" s="25"/>
      <c r="O458" s="25"/>
    </row>
    <row r="459" spans="3:15">
      <c r="C459" s="25"/>
      <c r="D459" s="25"/>
      <c r="E459" s="25"/>
      <c r="F459" s="25"/>
      <c r="G459" s="25"/>
      <c r="H459" s="25"/>
      <c r="I459" s="25"/>
      <c r="J459" s="25"/>
      <c r="M459" s="25"/>
      <c r="N459" s="25"/>
      <c r="O459" s="25"/>
    </row>
    <row r="460" spans="3:15">
      <c r="C460" s="25"/>
      <c r="D460" s="25"/>
      <c r="E460" s="25"/>
      <c r="F460" s="25"/>
      <c r="G460" s="25"/>
      <c r="H460" s="25"/>
      <c r="I460" s="25"/>
      <c r="J460" s="25"/>
      <c r="M460" s="25"/>
      <c r="N460" s="25"/>
      <c r="O460" s="25"/>
    </row>
    <row r="461" spans="3:15">
      <c r="C461" s="25"/>
      <c r="D461" s="25"/>
      <c r="E461" s="25"/>
      <c r="F461" s="25"/>
      <c r="G461" s="25"/>
      <c r="H461" s="25"/>
      <c r="I461" s="25"/>
      <c r="J461" s="25"/>
      <c r="M461" s="25"/>
      <c r="N461" s="25"/>
      <c r="O461" s="25"/>
    </row>
    <row r="462" spans="3:15">
      <c r="C462" s="25"/>
      <c r="D462" s="25"/>
      <c r="E462" s="25"/>
      <c r="F462" s="25"/>
      <c r="G462" s="25"/>
      <c r="H462" s="25"/>
      <c r="I462" s="25"/>
      <c r="J462" s="25"/>
      <c r="M462" s="25"/>
      <c r="N462" s="25"/>
      <c r="O462" s="25"/>
    </row>
    <row r="463" spans="3:15">
      <c r="C463" s="25"/>
      <c r="D463" s="25"/>
      <c r="E463" s="25"/>
      <c r="F463" s="25"/>
      <c r="G463" s="25"/>
      <c r="H463" s="25"/>
      <c r="I463" s="25"/>
      <c r="J463" s="25"/>
      <c r="M463" s="25"/>
      <c r="N463" s="25"/>
      <c r="O463" s="25"/>
    </row>
    <row r="464" spans="3:15">
      <c r="C464" s="25"/>
      <c r="D464" s="25"/>
      <c r="E464" s="25"/>
      <c r="F464" s="25"/>
      <c r="G464" s="25"/>
      <c r="H464" s="25"/>
      <c r="I464" s="25"/>
      <c r="J464" s="25"/>
      <c r="M464" s="25"/>
      <c r="N464" s="25"/>
      <c r="O464" s="25"/>
    </row>
    <row r="465" spans="3:15">
      <c r="C465" s="25"/>
      <c r="D465" s="25"/>
      <c r="E465" s="25"/>
      <c r="F465" s="25"/>
      <c r="G465" s="25"/>
      <c r="H465" s="25"/>
      <c r="I465" s="25"/>
      <c r="J465" s="25"/>
      <c r="M465" s="25"/>
      <c r="N465" s="25"/>
      <c r="O465" s="25"/>
    </row>
    <row r="466" spans="3:15">
      <c r="C466" s="25"/>
      <c r="D466" s="25"/>
      <c r="E466" s="25"/>
      <c r="F466" s="25"/>
      <c r="G466" s="25"/>
      <c r="H466" s="25"/>
      <c r="I466" s="25"/>
      <c r="J466" s="25"/>
      <c r="M466" s="25"/>
      <c r="N466" s="25"/>
      <c r="O466" s="25"/>
    </row>
    <row r="467" spans="3:15">
      <c r="C467" s="25"/>
      <c r="D467" s="25"/>
      <c r="E467" s="25"/>
      <c r="F467" s="25"/>
      <c r="G467" s="25"/>
      <c r="H467" s="25"/>
      <c r="I467" s="25"/>
      <c r="J467" s="25"/>
      <c r="M467" s="25"/>
      <c r="N467" s="25"/>
      <c r="O467" s="25"/>
    </row>
    <row r="468" spans="3:15">
      <c r="C468" s="25"/>
      <c r="D468" s="25"/>
      <c r="E468" s="25"/>
      <c r="F468" s="25"/>
      <c r="G468" s="25"/>
      <c r="H468" s="25"/>
      <c r="I468" s="25"/>
      <c r="J468" s="25"/>
      <c r="M468" s="25"/>
      <c r="N468" s="25"/>
      <c r="O468" s="25"/>
    </row>
    <row r="469" spans="3:15">
      <c r="C469" s="25"/>
      <c r="D469" s="25"/>
      <c r="E469" s="25"/>
      <c r="F469" s="25"/>
      <c r="G469" s="25"/>
      <c r="H469" s="25"/>
      <c r="I469" s="25"/>
      <c r="J469" s="25"/>
      <c r="M469" s="25"/>
      <c r="N469" s="25"/>
      <c r="O469" s="25"/>
    </row>
    <row r="470" spans="3:15">
      <c r="C470" s="25"/>
      <c r="D470" s="25"/>
      <c r="E470" s="25"/>
      <c r="F470" s="25"/>
      <c r="G470" s="25"/>
      <c r="H470" s="25"/>
      <c r="I470" s="25"/>
      <c r="J470" s="25"/>
      <c r="M470" s="25"/>
      <c r="N470" s="25"/>
      <c r="O470" s="25"/>
    </row>
    <row r="471" spans="3:15">
      <c r="C471" s="25"/>
      <c r="D471" s="25"/>
      <c r="E471" s="25"/>
      <c r="F471" s="25"/>
      <c r="G471" s="25"/>
      <c r="H471" s="25"/>
      <c r="I471" s="25"/>
      <c r="J471" s="25"/>
      <c r="M471" s="25"/>
      <c r="N471" s="25"/>
      <c r="O471" s="25"/>
    </row>
    <row r="472" spans="3:15">
      <c r="C472" s="25"/>
      <c r="D472" s="25"/>
      <c r="E472" s="25"/>
      <c r="F472" s="25"/>
      <c r="G472" s="25"/>
      <c r="H472" s="25"/>
      <c r="I472" s="25"/>
      <c r="J472" s="25"/>
      <c r="M472" s="25"/>
      <c r="N472" s="25"/>
      <c r="O472" s="25"/>
    </row>
    <row r="473" spans="3:15">
      <c r="C473" s="25"/>
      <c r="D473" s="25"/>
      <c r="E473" s="25"/>
      <c r="F473" s="25"/>
      <c r="G473" s="25"/>
      <c r="H473" s="25"/>
      <c r="I473" s="25"/>
      <c r="J473" s="25"/>
      <c r="M473" s="25"/>
      <c r="N473" s="25"/>
      <c r="O473" s="25"/>
    </row>
    <row r="474" spans="3:15">
      <c r="C474" s="25"/>
      <c r="D474" s="25"/>
      <c r="E474" s="25"/>
      <c r="F474" s="25"/>
      <c r="G474" s="25"/>
      <c r="H474" s="25"/>
      <c r="I474" s="25"/>
      <c r="J474" s="25"/>
      <c r="M474" s="25"/>
      <c r="N474" s="25"/>
      <c r="O474" s="25"/>
    </row>
    <row r="475" spans="3:15">
      <c r="C475" s="25"/>
      <c r="D475" s="25"/>
      <c r="E475" s="25"/>
      <c r="F475" s="25"/>
      <c r="G475" s="25"/>
      <c r="H475" s="25"/>
      <c r="I475" s="25"/>
      <c r="J475" s="25"/>
      <c r="M475" s="25"/>
      <c r="N475" s="25"/>
      <c r="O475" s="25"/>
    </row>
    <row r="476" spans="3:15">
      <c r="C476" s="25"/>
      <c r="D476" s="25"/>
      <c r="E476" s="25"/>
      <c r="F476" s="25"/>
      <c r="G476" s="25"/>
      <c r="H476" s="25"/>
      <c r="I476" s="25"/>
      <c r="J476" s="25"/>
      <c r="M476" s="25"/>
      <c r="N476" s="25"/>
      <c r="O476" s="25"/>
    </row>
    <row r="477" spans="3:15">
      <c r="C477" s="25"/>
      <c r="D477" s="25"/>
      <c r="E477" s="25"/>
      <c r="F477" s="25"/>
      <c r="G477" s="25"/>
      <c r="H477" s="25"/>
      <c r="I477" s="25"/>
      <c r="J477" s="25"/>
      <c r="M477" s="25"/>
      <c r="N477" s="25"/>
      <c r="O477" s="25"/>
    </row>
    <row r="478" spans="3:15">
      <c r="C478" s="25"/>
      <c r="D478" s="25"/>
      <c r="E478" s="25"/>
      <c r="F478" s="25"/>
      <c r="G478" s="25"/>
      <c r="H478" s="25"/>
      <c r="I478" s="25"/>
      <c r="J478" s="25"/>
      <c r="M478" s="25"/>
      <c r="N478" s="25"/>
      <c r="O478" s="25"/>
    </row>
    <row r="479" spans="3:15">
      <c r="C479" s="25"/>
      <c r="D479" s="25"/>
      <c r="E479" s="25"/>
      <c r="F479" s="25"/>
      <c r="G479" s="25"/>
      <c r="H479" s="25"/>
      <c r="I479" s="25"/>
      <c r="J479" s="25"/>
      <c r="M479" s="25"/>
      <c r="N479" s="25"/>
      <c r="O479" s="25"/>
    </row>
    <row r="480" spans="3:15">
      <c r="C480" s="25"/>
      <c r="D480" s="25"/>
      <c r="E480" s="25"/>
      <c r="F480" s="25"/>
      <c r="G480" s="25"/>
      <c r="H480" s="25"/>
      <c r="I480" s="25"/>
      <c r="J480" s="25"/>
      <c r="M480" s="25"/>
      <c r="N480" s="25"/>
      <c r="O480" s="25"/>
    </row>
    <row r="481" spans="3:15">
      <c r="C481" s="25"/>
      <c r="D481" s="25"/>
      <c r="E481" s="25"/>
      <c r="F481" s="25"/>
      <c r="G481" s="25"/>
      <c r="H481" s="25"/>
      <c r="I481" s="25"/>
      <c r="J481" s="25"/>
      <c r="M481" s="25"/>
      <c r="N481" s="25"/>
      <c r="O481" s="25"/>
    </row>
    <row r="482" spans="3:15">
      <c r="C482" s="25"/>
      <c r="D482" s="25"/>
      <c r="E482" s="25"/>
      <c r="F482" s="25"/>
      <c r="G482" s="25"/>
      <c r="H482" s="25"/>
      <c r="I482" s="25"/>
      <c r="J482" s="25"/>
      <c r="M482" s="25"/>
      <c r="N482" s="25"/>
      <c r="O482" s="25"/>
    </row>
    <row r="483" spans="3:15">
      <c r="C483" s="25"/>
      <c r="D483" s="25"/>
      <c r="E483" s="25"/>
      <c r="F483" s="25"/>
      <c r="G483" s="25"/>
      <c r="H483" s="25"/>
      <c r="I483" s="25"/>
      <c r="J483" s="25"/>
      <c r="M483" s="25"/>
      <c r="N483" s="25"/>
      <c r="O483" s="25"/>
    </row>
    <row r="484" spans="3:15">
      <c r="C484" s="25"/>
      <c r="D484" s="25"/>
      <c r="E484" s="25"/>
      <c r="F484" s="25"/>
      <c r="G484" s="25"/>
      <c r="H484" s="25"/>
      <c r="I484" s="25"/>
      <c r="J484" s="25"/>
      <c r="M484" s="25"/>
      <c r="N484" s="25"/>
      <c r="O484" s="25"/>
    </row>
    <row r="485" spans="3:15">
      <c r="C485" s="25"/>
      <c r="D485" s="25"/>
      <c r="E485" s="25"/>
      <c r="F485" s="25"/>
      <c r="G485" s="25"/>
      <c r="H485" s="25"/>
      <c r="I485" s="25"/>
      <c r="J485" s="25"/>
      <c r="M485" s="25"/>
      <c r="N485" s="25"/>
      <c r="O485" s="25"/>
    </row>
    <row r="486" spans="3:15">
      <c r="C486" s="25"/>
      <c r="D486" s="25"/>
      <c r="E486" s="25"/>
      <c r="F486" s="25"/>
      <c r="G486" s="25"/>
      <c r="H486" s="25"/>
      <c r="I486" s="25"/>
      <c r="J486" s="25"/>
      <c r="M486" s="25"/>
      <c r="N486" s="25"/>
      <c r="O486" s="25"/>
    </row>
    <row r="487" spans="3:15">
      <c r="C487" s="25"/>
      <c r="D487" s="25"/>
      <c r="E487" s="25"/>
      <c r="F487" s="25"/>
      <c r="G487" s="25"/>
      <c r="H487" s="25"/>
      <c r="I487" s="25"/>
      <c r="J487" s="25"/>
      <c r="M487" s="25"/>
      <c r="N487" s="25"/>
      <c r="O487" s="25"/>
    </row>
    <row r="488" spans="3:15">
      <c r="C488" s="25"/>
      <c r="D488" s="25"/>
      <c r="E488" s="25"/>
      <c r="F488" s="25"/>
      <c r="G488" s="25"/>
      <c r="H488" s="25"/>
      <c r="I488" s="25"/>
      <c r="J488" s="25"/>
      <c r="M488" s="25"/>
      <c r="N488" s="25"/>
      <c r="O488" s="25"/>
    </row>
    <row r="489" spans="3:15">
      <c r="C489" s="25"/>
      <c r="D489" s="25"/>
      <c r="E489" s="25"/>
      <c r="F489" s="25"/>
      <c r="G489" s="25"/>
      <c r="H489" s="25"/>
      <c r="I489" s="25"/>
      <c r="J489" s="25"/>
      <c r="M489" s="25"/>
      <c r="N489" s="25"/>
      <c r="O489" s="25"/>
    </row>
    <row r="490" spans="3:15">
      <c r="C490" s="25"/>
      <c r="D490" s="25"/>
      <c r="E490" s="25"/>
      <c r="F490" s="25"/>
      <c r="G490" s="25"/>
      <c r="H490" s="25"/>
      <c r="I490" s="25"/>
      <c r="J490" s="25"/>
      <c r="M490" s="25"/>
      <c r="N490" s="25"/>
      <c r="O490" s="25"/>
    </row>
    <row r="491" spans="3:15">
      <c r="C491" s="25"/>
      <c r="D491" s="25"/>
      <c r="E491" s="25"/>
      <c r="F491" s="25"/>
      <c r="G491" s="25"/>
      <c r="H491" s="25"/>
      <c r="I491" s="25"/>
      <c r="J491" s="25"/>
      <c r="M491" s="25"/>
      <c r="N491" s="25"/>
      <c r="O491" s="25"/>
    </row>
    <row r="492" spans="3:15">
      <c r="C492" s="25"/>
      <c r="D492" s="25"/>
      <c r="E492" s="25"/>
      <c r="F492" s="25"/>
      <c r="G492" s="25"/>
      <c r="H492" s="25"/>
      <c r="I492" s="25"/>
      <c r="J492" s="25"/>
      <c r="M492" s="25"/>
      <c r="N492" s="25"/>
      <c r="O492" s="25"/>
    </row>
    <row r="493" spans="3:15">
      <c r="C493" s="25"/>
      <c r="D493" s="25"/>
      <c r="E493" s="25"/>
      <c r="F493" s="25"/>
      <c r="G493" s="25"/>
      <c r="H493" s="25"/>
      <c r="I493" s="25"/>
      <c r="J493" s="25"/>
      <c r="M493" s="25"/>
      <c r="N493" s="25"/>
      <c r="O493" s="25"/>
    </row>
    <row r="494" spans="3:15">
      <c r="C494" s="25"/>
      <c r="D494" s="25"/>
      <c r="E494" s="25"/>
      <c r="F494" s="25"/>
      <c r="G494" s="25"/>
      <c r="H494" s="25"/>
      <c r="I494" s="25"/>
      <c r="J494" s="25"/>
      <c r="M494" s="25"/>
      <c r="N494" s="25"/>
      <c r="O494" s="25"/>
    </row>
    <row r="495" spans="3:15">
      <c r="C495" s="25"/>
      <c r="D495" s="25"/>
      <c r="E495" s="25"/>
      <c r="F495" s="25"/>
      <c r="G495" s="25"/>
      <c r="H495" s="25"/>
      <c r="I495" s="25"/>
      <c r="J495" s="25"/>
      <c r="M495" s="25"/>
      <c r="N495" s="25"/>
      <c r="O495" s="25"/>
    </row>
    <row r="496" spans="3:15">
      <c r="C496" s="25"/>
      <c r="D496" s="25"/>
      <c r="E496" s="25"/>
      <c r="F496" s="25"/>
      <c r="G496" s="25"/>
      <c r="H496" s="25"/>
      <c r="I496" s="25"/>
      <c r="J496" s="25"/>
      <c r="M496" s="25"/>
      <c r="N496" s="25"/>
      <c r="O496" s="25"/>
    </row>
    <row r="497" spans="3:15">
      <c r="C497" s="25"/>
      <c r="D497" s="25"/>
      <c r="E497" s="25"/>
      <c r="F497" s="25"/>
      <c r="G497" s="25"/>
      <c r="H497" s="25"/>
      <c r="I497" s="25"/>
      <c r="J497" s="25"/>
      <c r="M497" s="25"/>
      <c r="N497" s="25"/>
      <c r="O497" s="25"/>
    </row>
    <row r="498" spans="3:15">
      <c r="C498" s="25"/>
      <c r="D498" s="25"/>
      <c r="E498" s="25"/>
      <c r="F498" s="25"/>
      <c r="G498" s="25"/>
      <c r="H498" s="25"/>
      <c r="I498" s="25"/>
      <c r="J498" s="25"/>
      <c r="M498" s="25"/>
      <c r="N498" s="25"/>
      <c r="O498" s="25"/>
    </row>
    <row r="499" spans="3:15">
      <c r="C499" s="25"/>
      <c r="D499" s="25"/>
      <c r="E499" s="25"/>
      <c r="F499" s="25"/>
      <c r="G499" s="25"/>
      <c r="H499" s="25"/>
      <c r="I499" s="25"/>
      <c r="J499" s="25"/>
      <c r="M499" s="25"/>
      <c r="N499" s="25"/>
      <c r="O499" s="25"/>
    </row>
    <row r="500" spans="3:15">
      <c r="C500" s="25"/>
      <c r="D500" s="25"/>
      <c r="E500" s="25"/>
      <c r="F500" s="25"/>
      <c r="G500" s="25"/>
      <c r="H500" s="25"/>
      <c r="I500" s="25"/>
      <c r="J500" s="25"/>
      <c r="M500" s="25"/>
      <c r="N500" s="25"/>
      <c r="O500" s="25"/>
    </row>
    <row r="501" spans="3:15">
      <c r="C501" s="25"/>
      <c r="D501" s="25"/>
      <c r="E501" s="25"/>
      <c r="F501" s="25"/>
      <c r="G501" s="25"/>
      <c r="H501" s="25"/>
      <c r="I501" s="25"/>
      <c r="J501" s="25"/>
      <c r="M501" s="25"/>
      <c r="N501" s="25"/>
      <c r="O501" s="25"/>
    </row>
    <row r="502" spans="3:15">
      <c r="C502" s="25"/>
      <c r="D502" s="25"/>
      <c r="E502" s="25"/>
      <c r="F502" s="25"/>
      <c r="G502" s="25"/>
      <c r="H502" s="25"/>
      <c r="I502" s="25"/>
      <c r="J502" s="25"/>
      <c r="M502" s="25"/>
      <c r="N502" s="25"/>
      <c r="O502" s="25"/>
    </row>
    <row r="503" spans="3:15">
      <c r="C503" s="25"/>
      <c r="D503" s="25"/>
      <c r="E503" s="25"/>
      <c r="F503" s="25"/>
      <c r="G503" s="25"/>
      <c r="H503" s="25"/>
      <c r="I503" s="25"/>
      <c r="J503" s="25"/>
      <c r="M503" s="25"/>
      <c r="N503" s="25"/>
      <c r="O503" s="25"/>
    </row>
    <row r="504" spans="3:15">
      <c r="C504" s="25"/>
      <c r="D504" s="25"/>
      <c r="E504" s="25"/>
      <c r="F504" s="25"/>
      <c r="G504" s="25"/>
      <c r="H504" s="25"/>
      <c r="I504" s="25"/>
      <c r="J504" s="25"/>
      <c r="M504" s="25"/>
      <c r="N504" s="25"/>
      <c r="O504" s="25"/>
    </row>
    <row r="505" spans="3:15">
      <c r="C505" s="25"/>
      <c r="D505" s="25"/>
      <c r="E505" s="25"/>
      <c r="F505" s="25"/>
      <c r="G505" s="25"/>
      <c r="H505" s="25"/>
      <c r="I505" s="25"/>
      <c r="J505" s="25"/>
      <c r="M505" s="25"/>
      <c r="N505" s="25"/>
      <c r="O505" s="25"/>
    </row>
    <row r="506" spans="3:15">
      <c r="C506" s="25"/>
      <c r="D506" s="25"/>
      <c r="E506" s="25"/>
      <c r="F506" s="25"/>
      <c r="G506" s="25"/>
      <c r="H506" s="25"/>
      <c r="I506" s="25"/>
      <c r="J506" s="25"/>
      <c r="M506" s="25"/>
      <c r="N506" s="25"/>
      <c r="O506" s="25"/>
    </row>
    <row r="507" spans="3:15">
      <c r="C507" s="25"/>
      <c r="D507" s="25"/>
      <c r="E507" s="25"/>
      <c r="F507" s="25"/>
      <c r="G507" s="25"/>
      <c r="H507" s="25"/>
      <c r="I507" s="25"/>
      <c r="J507" s="25"/>
      <c r="M507" s="25"/>
      <c r="N507" s="25"/>
      <c r="O507" s="25"/>
    </row>
    <row r="508" spans="3:15">
      <c r="C508" s="25"/>
      <c r="D508" s="25"/>
      <c r="E508" s="25"/>
      <c r="F508" s="25"/>
      <c r="G508" s="25"/>
      <c r="H508" s="25"/>
      <c r="I508" s="25"/>
      <c r="J508" s="25"/>
      <c r="M508" s="25"/>
      <c r="N508" s="25"/>
      <c r="O508" s="25"/>
    </row>
    <row r="509" spans="3:15">
      <c r="C509" s="25"/>
      <c r="D509" s="25"/>
      <c r="E509" s="25"/>
      <c r="F509" s="25"/>
      <c r="G509" s="25"/>
      <c r="H509" s="25"/>
      <c r="I509" s="25"/>
      <c r="J509" s="25"/>
      <c r="M509" s="25"/>
      <c r="N509" s="25"/>
      <c r="O509" s="25"/>
    </row>
    <row r="510" spans="3:15">
      <c r="C510" s="25"/>
      <c r="D510" s="25"/>
      <c r="E510" s="25"/>
      <c r="F510" s="25"/>
      <c r="G510" s="25"/>
      <c r="H510" s="25"/>
      <c r="I510" s="25"/>
      <c r="J510" s="25"/>
      <c r="M510" s="25"/>
      <c r="N510" s="25"/>
      <c r="O510" s="25"/>
    </row>
    <row r="511" spans="3:15">
      <c r="C511" s="25"/>
      <c r="D511" s="25"/>
      <c r="E511" s="25"/>
      <c r="F511" s="25"/>
      <c r="G511" s="25"/>
      <c r="H511" s="25"/>
      <c r="I511" s="25"/>
      <c r="J511" s="25"/>
      <c r="M511" s="25"/>
      <c r="N511" s="25"/>
      <c r="O511" s="25"/>
    </row>
    <row r="512" spans="3:15">
      <c r="C512" s="25"/>
      <c r="D512" s="25"/>
      <c r="E512" s="25"/>
      <c r="F512" s="25"/>
      <c r="G512" s="25"/>
      <c r="H512" s="25"/>
      <c r="I512" s="25"/>
      <c r="J512" s="25"/>
      <c r="M512" s="25"/>
      <c r="N512" s="25"/>
      <c r="O512" s="25"/>
    </row>
    <row r="513" spans="3:15">
      <c r="C513" s="25"/>
      <c r="D513" s="25"/>
      <c r="E513" s="25"/>
      <c r="F513" s="25"/>
      <c r="G513" s="25"/>
      <c r="H513" s="25"/>
      <c r="I513" s="25"/>
      <c r="J513" s="25"/>
      <c r="M513" s="25"/>
      <c r="N513" s="25"/>
      <c r="O513" s="25"/>
    </row>
    <row r="514" spans="3:15">
      <c r="C514" s="25"/>
      <c r="D514" s="25"/>
      <c r="E514" s="25"/>
      <c r="F514" s="25"/>
      <c r="G514" s="25"/>
      <c r="H514" s="25"/>
      <c r="I514" s="25"/>
      <c r="J514" s="25"/>
      <c r="M514" s="25"/>
      <c r="N514" s="25"/>
      <c r="O514" s="25"/>
    </row>
    <row r="515" spans="3:15">
      <c r="C515" s="25"/>
      <c r="D515" s="25"/>
      <c r="E515" s="25"/>
      <c r="F515" s="25"/>
      <c r="G515" s="25"/>
      <c r="H515" s="25"/>
      <c r="I515" s="25"/>
      <c r="J515" s="25"/>
      <c r="M515" s="25"/>
      <c r="N515" s="25"/>
      <c r="O515" s="25"/>
    </row>
    <row r="516" spans="3:15">
      <c r="C516" s="25"/>
      <c r="D516" s="25"/>
      <c r="E516" s="25"/>
      <c r="F516" s="25"/>
      <c r="G516" s="25"/>
      <c r="H516" s="25"/>
      <c r="I516" s="25"/>
      <c r="J516" s="25"/>
      <c r="M516" s="25"/>
      <c r="N516" s="25"/>
      <c r="O516" s="25"/>
    </row>
    <row r="517" spans="3:15">
      <c r="C517" s="25"/>
      <c r="D517" s="25"/>
      <c r="E517" s="25"/>
      <c r="F517" s="25"/>
      <c r="G517" s="25"/>
      <c r="H517" s="25"/>
      <c r="I517" s="25"/>
      <c r="J517" s="25"/>
      <c r="M517" s="25"/>
      <c r="N517" s="25"/>
      <c r="O517" s="25"/>
    </row>
    <row r="518" spans="3:15">
      <c r="C518" s="25"/>
      <c r="D518" s="25"/>
      <c r="E518" s="25"/>
      <c r="F518" s="25"/>
      <c r="G518" s="25"/>
      <c r="H518" s="25"/>
      <c r="I518" s="25"/>
      <c r="J518" s="25"/>
      <c r="M518" s="25"/>
      <c r="N518" s="25"/>
      <c r="O518" s="25"/>
    </row>
    <row r="519" spans="3:15">
      <c r="C519" s="25"/>
      <c r="D519" s="25"/>
      <c r="E519" s="25"/>
      <c r="F519" s="25"/>
      <c r="G519" s="25"/>
      <c r="H519" s="25"/>
      <c r="I519" s="25"/>
      <c r="J519" s="25"/>
      <c r="M519" s="25"/>
      <c r="N519" s="25"/>
      <c r="O519" s="25"/>
    </row>
    <row r="520" spans="3:15">
      <c r="C520" s="25"/>
      <c r="D520" s="25"/>
      <c r="E520" s="25"/>
      <c r="F520" s="25"/>
      <c r="G520" s="25"/>
      <c r="H520" s="25"/>
      <c r="I520" s="25"/>
      <c r="J520" s="25"/>
      <c r="M520" s="25"/>
      <c r="N520" s="25"/>
      <c r="O520" s="25"/>
    </row>
    <row r="521" spans="3:15">
      <c r="C521" s="25"/>
      <c r="D521" s="25"/>
      <c r="E521" s="25"/>
      <c r="F521" s="25"/>
      <c r="G521" s="25"/>
      <c r="H521" s="25"/>
      <c r="I521" s="25"/>
      <c r="J521" s="25"/>
      <c r="M521" s="25"/>
      <c r="N521" s="25"/>
      <c r="O521" s="25"/>
    </row>
    <row r="522" spans="3:15">
      <c r="C522" s="25"/>
      <c r="D522" s="25"/>
      <c r="E522" s="25"/>
      <c r="F522" s="25"/>
      <c r="G522" s="25"/>
      <c r="H522" s="25"/>
      <c r="I522" s="25"/>
      <c r="J522" s="25"/>
      <c r="M522" s="25"/>
      <c r="N522" s="25"/>
      <c r="O522" s="25"/>
    </row>
    <row r="523" spans="3:15">
      <c r="C523" s="25"/>
      <c r="D523" s="25"/>
      <c r="E523" s="25"/>
      <c r="F523" s="25"/>
      <c r="G523" s="25"/>
      <c r="H523" s="25"/>
      <c r="I523" s="25"/>
      <c r="J523" s="25"/>
      <c r="M523" s="25"/>
      <c r="N523" s="25"/>
      <c r="O523" s="25"/>
    </row>
    <row r="524" spans="3:15">
      <c r="C524" s="25"/>
      <c r="D524" s="25"/>
      <c r="E524" s="25"/>
      <c r="F524" s="25"/>
      <c r="G524" s="25"/>
      <c r="H524" s="25"/>
      <c r="I524" s="25"/>
      <c r="J524" s="25"/>
      <c r="M524" s="25"/>
      <c r="N524" s="25"/>
      <c r="O524" s="25"/>
    </row>
    <row r="525" spans="3:15">
      <c r="C525" s="25"/>
      <c r="D525" s="25"/>
      <c r="E525" s="25"/>
      <c r="F525" s="25"/>
      <c r="G525" s="25"/>
      <c r="H525" s="25"/>
      <c r="I525" s="25"/>
      <c r="J525" s="25"/>
      <c r="M525" s="25"/>
      <c r="N525" s="25"/>
      <c r="O525" s="25"/>
    </row>
    <row r="526" spans="3:15">
      <c r="C526" s="25"/>
      <c r="D526" s="25"/>
      <c r="E526" s="25"/>
      <c r="F526" s="25"/>
      <c r="G526" s="25"/>
      <c r="H526" s="25"/>
      <c r="I526" s="25"/>
      <c r="J526" s="25"/>
      <c r="M526" s="25"/>
      <c r="N526" s="25"/>
      <c r="O526" s="25"/>
    </row>
    <row r="527" spans="3:15">
      <c r="C527" s="25"/>
      <c r="D527" s="25"/>
      <c r="E527" s="25"/>
      <c r="F527" s="25"/>
      <c r="G527" s="25"/>
      <c r="H527" s="25"/>
      <c r="I527" s="25"/>
      <c r="J527" s="25"/>
      <c r="M527" s="25"/>
      <c r="N527" s="25"/>
      <c r="O527" s="25"/>
    </row>
    <row r="528" spans="3:15">
      <c r="C528" s="25"/>
      <c r="D528" s="25"/>
      <c r="E528" s="25"/>
      <c r="F528" s="25"/>
      <c r="G528" s="25"/>
      <c r="H528" s="25"/>
      <c r="I528" s="25"/>
      <c r="J528" s="25"/>
      <c r="M528" s="25"/>
      <c r="N528" s="25"/>
      <c r="O528" s="25"/>
    </row>
    <row r="529" spans="3:15">
      <c r="C529" s="25"/>
      <c r="D529" s="25"/>
      <c r="E529" s="25"/>
      <c r="F529" s="25"/>
      <c r="G529" s="25"/>
      <c r="H529" s="25"/>
      <c r="I529" s="25"/>
      <c r="J529" s="25"/>
      <c r="M529" s="25"/>
      <c r="N529" s="25"/>
      <c r="O529" s="25"/>
    </row>
    <row r="530" spans="3:15">
      <c r="C530" s="25"/>
      <c r="D530" s="25"/>
      <c r="E530" s="25"/>
      <c r="F530" s="25"/>
      <c r="G530" s="25"/>
      <c r="H530" s="25"/>
      <c r="I530" s="25"/>
      <c r="J530" s="25"/>
      <c r="M530" s="25"/>
      <c r="N530" s="25"/>
      <c r="O530" s="25"/>
    </row>
    <row r="531" spans="3:15">
      <c r="C531" s="25"/>
      <c r="D531" s="25"/>
      <c r="E531" s="25"/>
      <c r="F531" s="25"/>
      <c r="G531" s="25"/>
      <c r="H531" s="25"/>
      <c r="I531" s="25"/>
      <c r="J531" s="25"/>
      <c r="M531" s="25"/>
      <c r="N531" s="25"/>
      <c r="O531" s="25"/>
    </row>
    <row r="532" spans="3:15">
      <c r="C532" s="25"/>
      <c r="D532" s="25"/>
      <c r="E532" s="25"/>
      <c r="F532" s="25"/>
      <c r="G532" s="25"/>
      <c r="H532" s="25"/>
      <c r="I532" s="25"/>
      <c r="J532" s="25"/>
      <c r="M532" s="25"/>
      <c r="N532" s="25"/>
      <c r="O532" s="25"/>
    </row>
    <row r="533" spans="3:15">
      <c r="C533" s="25"/>
      <c r="D533" s="25"/>
      <c r="E533" s="25"/>
      <c r="F533" s="25"/>
      <c r="G533" s="25"/>
      <c r="H533" s="25"/>
      <c r="I533" s="25"/>
      <c r="J533" s="25"/>
      <c r="M533" s="25"/>
      <c r="N533" s="25"/>
      <c r="O533" s="25"/>
    </row>
    <row r="534" spans="3:15">
      <c r="C534" s="25"/>
      <c r="D534" s="25"/>
      <c r="E534" s="25"/>
      <c r="F534" s="25"/>
      <c r="G534" s="25"/>
      <c r="H534" s="25"/>
      <c r="I534" s="25"/>
      <c r="J534" s="25"/>
      <c r="M534" s="25"/>
      <c r="N534" s="25"/>
      <c r="O534" s="25"/>
    </row>
    <row r="535" spans="3:15">
      <c r="C535" s="25"/>
      <c r="D535" s="25"/>
      <c r="E535" s="25"/>
      <c r="F535" s="25"/>
      <c r="G535" s="25"/>
      <c r="H535" s="25"/>
      <c r="I535" s="25"/>
      <c r="J535" s="25"/>
      <c r="M535" s="25"/>
      <c r="N535" s="25"/>
      <c r="O535" s="25"/>
    </row>
    <row r="536" spans="3:15">
      <c r="C536" s="25"/>
      <c r="D536" s="25"/>
      <c r="E536" s="25"/>
      <c r="F536" s="25"/>
      <c r="G536" s="25"/>
      <c r="H536" s="25"/>
      <c r="I536" s="25"/>
      <c r="J536" s="25"/>
      <c r="M536" s="25"/>
      <c r="N536" s="25"/>
      <c r="O536" s="25"/>
    </row>
    <row r="537" spans="3:15">
      <c r="C537" s="25"/>
      <c r="D537" s="25"/>
      <c r="E537" s="25"/>
      <c r="F537" s="25"/>
      <c r="G537" s="25"/>
      <c r="H537" s="25"/>
      <c r="I537" s="25"/>
      <c r="J537" s="25"/>
      <c r="M537" s="25"/>
      <c r="N537" s="25"/>
      <c r="O537" s="25"/>
    </row>
    <row r="538" spans="3:15">
      <c r="C538" s="25"/>
      <c r="D538" s="25"/>
      <c r="E538" s="25"/>
      <c r="F538" s="25"/>
      <c r="G538" s="25"/>
      <c r="H538" s="25"/>
      <c r="I538" s="25"/>
      <c r="J538" s="25"/>
      <c r="M538" s="25"/>
      <c r="N538" s="25"/>
      <c r="O538" s="25"/>
    </row>
    <row r="539" spans="3:15">
      <c r="C539" s="25"/>
      <c r="D539" s="25"/>
      <c r="E539" s="25"/>
      <c r="F539" s="25"/>
      <c r="G539" s="25"/>
      <c r="H539" s="25"/>
      <c r="I539" s="25"/>
      <c r="J539" s="25"/>
      <c r="M539" s="25"/>
      <c r="N539" s="25"/>
      <c r="O539" s="25"/>
    </row>
    <row r="540" spans="3:15">
      <c r="C540" s="25"/>
      <c r="D540" s="25"/>
      <c r="E540" s="25"/>
      <c r="F540" s="25"/>
      <c r="G540" s="25"/>
      <c r="H540" s="25"/>
      <c r="I540" s="25"/>
      <c r="J540" s="25"/>
      <c r="M540" s="25"/>
      <c r="N540" s="25"/>
      <c r="O540" s="25"/>
    </row>
    <row r="541" spans="3:15">
      <c r="C541" s="25"/>
      <c r="D541" s="25"/>
      <c r="E541" s="25"/>
      <c r="F541" s="25"/>
      <c r="G541" s="25"/>
      <c r="H541" s="25"/>
      <c r="I541" s="25"/>
      <c r="J541" s="25"/>
      <c r="M541" s="25"/>
      <c r="N541" s="25"/>
      <c r="O541" s="25"/>
    </row>
    <row r="542" spans="3:15">
      <c r="C542" s="25"/>
      <c r="D542" s="25"/>
      <c r="E542" s="25"/>
      <c r="F542" s="25"/>
      <c r="G542" s="25"/>
      <c r="H542" s="25"/>
      <c r="I542" s="25"/>
      <c r="J542" s="25"/>
      <c r="M542" s="25"/>
      <c r="N542" s="25"/>
      <c r="O542" s="25"/>
    </row>
    <row r="543" spans="3:15">
      <c r="C543" s="25"/>
      <c r="D543" s="25"/>
      <c r="E543" s="25"/>
      <c r="F543" s="25"/>
      <c r="G543" s="25"/>
      <c r="H543" s="25"/>
      <c r="I543" s="25"/>
      <c r="J543" s="25"/>
      <c r="M543" s="25"/>
      <c r="N543" s="25"/>
      <c r="O543" s="25"/>
    </row>
    <row r="544" spans="3:15">
      <c r="C544" s="25"/>
      <c r="D544" s="25"/>
      <c r="E544" s="25"/>
      <c r="F544" s="25"/>
      <c r="G544" s="25"/>
      <c r="H544" s="25"/>
      <c r="I544" s="25"/>
      <c r="J544" s="25"/>
      <c r="M544" s="25"/>
      <c r="N544" s="25"/>
      <c r="O544" s="25"/>
    </row>
    <row r="545" spans="3:15">
      <c r="C545" s="25"/>
      <c r="D545" s="25"/>
      <c r="E545" s="25"/>
      <c r="F545" s="25"/>
      <c r="G545" s="25"/>
      <c r="H545" s="25"/>
      <c r="I545" s="25"/>
      <c r="J545" s="25"/>
      <c r="M545" s="25"/>
      <c r="N545" s="25"/>
      <c r="O545" s="25"/>
    </row>
    <row r="546" spans="3:15">
      <c r="C546" s="25"/>
      <c r="D546" s="25"/>
      <c r="E546" s="25"/>
      <c r="F546" s="25"/>
      <c r="G546" s="25"/>
      <c r="H546" s="25"/>
      <c r="I546" s="25"/>
      <c r="J546" s="25"/>
      <c r="M546" s="25"/>
      <c r="N546" s="25"/>
      <c r="O546" s="25"/>
    </row>
    <row r="547" spans="3:15">
      <c r="C547" s="25"/>
      <c r="D547" s="25"/>
      <c r="E547" s="25"/>
      <c r="F547" s="25"/>
      <c r="G547" s="25"/>
      <c r="H547" s="25"/>
      <c r="I547" s="25"/>
      <c r="J547" s="25"/>
      <c r="M547" s="25"/>
      <c r="N547" s="25"/>
      <c r="O547" s="25"/>
    </row>
    <row r="548" spans="3:15">
      <c r="C548" s="25"/>
      <c r="D548" s="25"/>
      <c r="E548" s="25"/>
      <c r="F548" s="25"/>
      <c r="G548" s="25"/>
      <c r="H548" s="25"/>
      <c r="I548" s="25"/>
      <c r="J548" s="25"/>
      <c r="M548" s="25"/>
      <c r="N548" s="25"/>
      <c r="O548" s="25"/>
    </row>
    <row r="549" spans="3:15">
      <c r="C549" s="25"/>
      <c r="D549" s="25"/>
      <c r="E549" s="25"/>
      <c r="F549" s="25"/>
      <c r="G549" s="25"/>
      <c r="H549" s="25"/>
      <c r="I549" s="25"/>
      <c r="J549" s="25"/>
      <c r="M549" s="25"/>
      <c r="N549" s="25"/>
      <c r="O549" s="25"/>
    </row>
    <row r="550" spans="3:15">
      <c r="C550" s="25"/>
      <c r="D550" s="25"/>
      <c r="E550" s="25"/>
      <c r="F550" s="25"/>
      <c r="G550" s="25"/>
      <c r="H550" s="25"/>
      <c r="I550" s="25"/>
      <c r="J550" s="25"/>
      <c r="M550" s="25"/>
      <c r="N550" s="25"/>
      <c r="O550" s="25"/>
    </row>
    <row r="551" spans="3:15">
      <c r="C551" s="25"/>
      <c r="D551" s="25"/>
      <c r="E551" s="25"/>
      <c r="F551" s="25"/>
      <c r="G551" s="25"/>
      <c r="H551" s="25"/>
      <c r="I551" s="25"/>
      <c r="J551" s="25"/>
      <c r="M551" s="25"/>
      <c r="N551" s="25"/>
      <c r="O551" s="25"/>
    </row>
    <row r="552" spans="3:15">
      <c r="C552" s="25"/>
      <c r="D552" s="25"/>
      <c r="E552" s="25"/>
      <c r="F552" s="25"/>
      <c r="G552" s="25"/>
      <c r="H552" s="25"/>
      <c r="I552" s="25"/>
      <c r="J552" s="25"/>
      <c r="M552" s="25"/>
      <c r="N552" s="25"/>
      <c r="O552" s="25"/>
    </row>
    <row r="553" spans="3:15">
      <c r="C553" s="25"/>
      <c r="D553" s="25"/>
      <c r="E553" s="25"/>
      <c r="F553" s="25"/>
      <c r="G553" s="25"/>
      <c r="H553" s="25"/>
      <c r="I553" s="25"/>
      <c r="J553" s="25"/>
      <c r="M553" s="25"/>
      <c r="N553" s="25"/>
      <c r="O553" s="25"/>
    </row>
    <row r="554" spans="3:15">
      <c r="C554" s="25"/>
      <c r="D554" s="25"/>
      <c r="E554" s="25"/>
      <c r="F554" s="25"/>
      <c r="G554" s="25"/>
      <c r="H554" s="25"/>
      <c r="I554" s="25"/>
      <c r="J554" s="25"/>
      <c r="M554" s="25"/>
      <c r="N554" s="25"/>
      <c r="O554" s="25"/>
    </row>
    <row r="555" spans="3:15">
      <c r="C555" s="25"/>
      <c r="D555" s="25"/>
      <c r="E555" s="25"/>
      <c r="F555" s="25"/>
      <c r="G555" s="25"/>
      <c r="H555" s="25"/>
      <c r="I555" s="25"/>
      <c r="J555" s="25"/>
      <c r="M555" s="25"/>
      <c r="N555" s="25"/>
      <c r="O555" s="25"/>
    </row>
    <row r="556" spans="3:15">
      <c r="C556" s="25"/>
      <c r="D556" s="25"/>
      <c r="E556" s="25"/>
      <c r="F556" s="25"/>
      <c r="G556" s="25"/>
      <c r="H556" s="25"/>
      <c r="I556" s="25"/>
      <c r="J556" s="25"/>
      <c r="M556" s="25"/>
      <c r="N556" s="25"/>
      <c r="O556" s="25"/>
    </row>
    <row r="557" spans="3:15">
      <c r="C557" s="25"/>
      <c r="D557" s="25"/>
      <c r="E557" s="25"/>
      <c r="F557" s="25"/>
      <c r="G557" s="25"/>
      <c r="H557" s="25"/>
      <c r="I557" s="25"/>
      <c r="J557" s="25"/>
      <c r="M557" s="25"/>
      <c r="N557" s="25"/>
      <c r="O557" s="25"/>
    </row>
    <row r="558" spans="3:15">
      <c r="C558" s="25"/>
      <c r="D558" s="25"/>
      <c r="E558" s="25"/>
      <c r="F558" s="25"/>
      <c r="G558" s="25"/>
      <c r="H558" s="25"/>
      <c r="I558" s="25"/>
      <c r="J558" s="25"/>
      <c r="M558" s="25"/>
      <c r="N558" s="25"/>
      <c r="O558" s="25"/>
    </row>
    <row r="559" spans="3:15">
      <c r="C559" s="25"/>
      <c r="D559" s="25"/>
      <c r="E559" s="25"/>
      <c r="F559" s="25"/>
      <c r="G559" s="25"/>
      <c r="H559" s="25"/>
      <c r="I559" s="25"/>
      <c r="J559" s="25"/>
      <c r="M559" s="25"/>
      <c r="N559" s="25"/>
      <c r="O559" s="25"/>
    </row>
    <row r="560" spans="3:15">
      <c r="C560" s="25"/>
      <c r="D560" s="25"/>
      <c r="E560" s="25"/>
      <c r="F560" s="25"/>
      <c r="G560" s="25"/>
      <c r="H560" s="25"/>
      <c r="I560" s="25"/>
      <c r="J560" s="25"/>
      <c r="M560" s="25"/>
      <c r="N560" s="25"/>
      <c r="O560" s="25"/>
    </row>
    <row r="561" spans="3:15">
      <c r="C561" s="25"/>
      <c r="D561" s="25"/>
      <c r="E561" s="25"/>
      <c r="F561" s="25"/>
      <c r="G561" s="25"/>
      <c r="H561" s="25"/>
      <c r="I561" s="25"/>
      <c r="J561" s="25"/>
      <c r="M561" s="25"/>
      <c r="N561" s="25"/>
      <c r="O561" s="25"/>
    </row>
    <row r="562" spans="3:15">
      <c r="C562" s="25"/>
      <c r="D562" s="25"/>
      <c r="E562" s="25"/>
      <c r="F562" s="25"/>
      <c r="G562" s="25"/>
      <c r="H562" s="25"/>
      <c r="I562" s="25"/>
      <c r="J562" s="25"/>
      <c r="M562" s="25"/>
      <c r="N562" s="25"/>
      <c r="O562" s="25"/>
    </row>
    <row r="563" spans="3:15">
      <c r="C563" s="25"/>
      <c r="D563" s="25"/>
      <c r="E563" s="25"/>
      <c r="F563" s="25"/>
      <c r="G563" s="25"/>
      <c r="H563" s="25"/>
      <c r="I563" s="25"/>
      <c r="J563" s="25"/>
      <c r="M563" s="25"/>
      <c r="N563" s="25"/>
      <c r="O563" s="25"/>
    </row>
    <row r="564" spans="3:15">
      <c r="C564" s="25"/>
      <c r="D564" s="25"/>
      <c r="E564" s="25"/>
      <c r="F564" s="25"/>
      <c r="G564" s="25"/>
      <c r="H564" s="25"/>
      <c r="I564" s="25"/>
      <c r="J564" s="25"/>
      <c r="M564" s="25"/>
      <c r="N564" s="25"/>
      <c r="O564" s="25"/>
    </row>
    <row r="565" spans="3:15">
      <c r="C565" s="25"/>
      <c r="D565" s="25"/>
      <c r="E565" s="25"/>
      <c r="F565" s="25"/>
      <c r="G565" s="25"/>
      <c r="H565" s="25"/>
      <c r="I565" s="25"/>
      <c r="J565" s="25"/>
      <c r="M565" s="25"/>
      <c r="N565" s="25"/>
      <c r="O565" s="25"/>
    </row>
    <row r="566" spans="3:15">
      <c r="C566" s="25"/>
      <c r="D566" s="25"/>
      <c r="E566" s="25"/>
      <c r="F566" s="25"/>
      <c r="G566" s="25"/>
      <c r="H566" s="25"/>
      <c r="I566" s="25"/>
      <c r="J566" s="25"/>
      <c r="M566" s="25"/>
      <c r="N566" s="25"/>
      <c r="O566" s="25"/>
    </row>
    <row r="567" spans="3:15">
      <c r="C567" s="25"/>
      <c r="D567" s="25"/>
      <c r="E567" s="25"/>
      <c r="F567" s="25"/>
      <c r="G567" s="25"/>
      <c r="H567" s="25"/>
      <c r="I567" s="25"/>
      <c r="J567" s="25"/>
      <c r="M567" s="25"/>
      <c r="N567" s="25"/>
      <c r="O567" s="25"/>
    </row>
    <row r="568" spans="3:15">
      <c r="C568" s="25"/>
      <c r="D568" s="25"/>
      <c r="E568" s="25"/>
      <c r="F568" s="25"/>
      <c r="G568" s="25"/>
      <c r="H568" s="25"/>
      <c r="I568" s="25"/>
      <c r="J568" s="25"/>
      <c r="M568" s="25"/>
      <c r="N568" s="25"/>
      <c r="O568" s="25"/>
    </row>
    <row r="569" spans="3:15">
      <c r="C569" s="25"/>
      <c r="D569" s="25"/>
      <c r="E569" s="25"/>
      <c r="F569" s="25"/>
      <c r="G569" s="25"/>
      <c r="H569" s="25"/>
      <c r="I569" s="25"/>
      <c r="J569" s="25"/>
      <c r="M569" s="25"/>
      <c r="N569" s="25"/>
      <c r="O569" s="25"/>
    </row>
    <row r="570" spans="3:15">
      <c r="C570" s="25"/>
      <c r="D570" s="25"/>
      <c r="E570" s="25"/>
      <c r="F570" s="25"/>
      <c r="G570" s="25"/>
      <c r="H570" s="25"/>
      <c r="I570" s="25"/>
      <c r="J570" s="25"/>
      <c r="M570" s="25"/>
      <c r="N570" s="25"/>
      <c r="O570" s="25"/>
    </row>
    <row r="571" spans="3:15">
      <c r="C571" s="25"/>
      <c r="D571" s="25"/>
      <c r="E571" s="25"/>
      <c r="F571" s="25"/>
      <c r="G571" s="25"/>
      <c r="H571" s="25"/>
      <c r="I571" s="25"/>
      <c r="J571" s="25"/>
      <c r="M571" s="25"/>
      <c r="N571" s="25"/>
      <c r="O571" s="25"/>
    </row>
    <row r="572" spans="3:15">
      <c r="C572" s="25"/>
      <c r="D572" s="25"/>
      <c r="E572" s="25"/>
      <c r="F572" s="25"/>
      <c r="G572" s="25"/>
      <c r="H572" s="25"/>
      <c r="I572" s="25"/>
      <c r="J572" s="25"/>
      <c r="M572" s="25"/>
      <c r="N572" s="25"/>
      <c r="O572" s="25"/>
    </row>
    <row r="573" spans="3:15">
      <c r="C573" s="25"/>
      <c r="D573" s="25"/>
      <c r="E573" s="25"/>
      <c r="F573" s="25"/>
      <c r="G573" s="25"/>
      <c r="H573" s="25"/>
      <c r="I573" s="25"/>
      <c r="J573" s="25"/>
      <c r="M573" s="25"/>
      <c r="N573" s="25"/>
      <c r="O573" s="25"/>
    </row>
    <row r="574" spans="3:15">
      <c r="C574" s="25"/>
      <c r="D574" s="25"/>
      <c r="E574" s="25"/>
      <c r="F574" s="25"/>
      <c r="G574" s="25"/>
      <c r="H574" s="25"/>
      <c r="I574" s="25"/>
      <c r="J574" s="25"/>
      <c r="M574" s="25"/>
      <c r="N574" s="25"/>
      <c r="O574" s="25"/>
    </row>
    <row r="575" spans="3:15">
      <c r="C575" s="25"/>
      <c r="D575" s="25"/>
      <c r="E575" s="25"/>
      <c r="F575" s="25"/>
      <c r="G575" s="25"/>
      <c r="H575" s="25"/>
      <c r="I575" s="25"/>
      <c r="J575" s="25"/>
      <c r="M575" s="25"/>
      <c r="N575" s="25"/>
      <c r="O575" s="25"/>
    </row>
    <row r="576" spans="3:15">
      <c r="C576" s="25"/>
      <c r="D576" s="25"/>
      <c r="E576" s="25"/>
      <c r="F576" s="25"/>
      <c r="G576" s="25"/>
      <c r="H576" s="25"/>
      <c r="I576" s="25"/>
      <c r="J576" s="25"/>
      <c r="M576" s="25"/>
      <c r="N576" s="25"/>
      <c r="O576" s="25"/>
    </row>
    <row r="577" spans="3:15">
      <c r="C577" s="25"/>
      <c r="D577" s="25"/>
      <c r="E577" s="25"/>
      <c r="F577" s="25"/>
      <c r="G577" s="25"/>
      <c r="H577" s="25"/>
      <c r="I577" s="25"/>
      <c r="J577" s="25"/>
      <c r="M577" s="25"/>
      <c r="N577" s="25"/>
      <c r="O577" s="25"/>
    </row>
    <row r="578" spans="3:15">
      <c r="C578" s="25"/>
      <c r="D578" s="25"/>
      <c r="E578" s="25"/>
      <c r="F578" s="25"/>
      <c r="G578" s="25"/>
      <c r="H578" s="25"/>
      <c r="I578" s="25"/>
      <c r="J578" s="25"/>
      <c r="M578" s="25"/>
      <c r="N578" s="25"/>
      <c r="O578" s="25"/>
    </row>
    <row r="579" spans="3:15">
      <c r="C579" s="25"/>
      <c r="D579" s="25"/>
      <c r="E579" s="25"/>
      <c r="F579" s="25"/>
      <c r="G579" s="25"/>
      <c r="H579" s="25"/>
      <c r="I579" s="25"/>
      <c r="J579" s="25"/>
      <c r="M579" s="25"/>
      <c r="N579" s="25"/>
      <c r="O579" s="25"/>
    </row>
    <row r="580" spans="3:15">
      <c r="C580" s="25"/>
      <c r="D580" s="25"/>
      <c r="E580" s="25"/>
      <c r="F580" s="25"/>
      <c r="G580" s="25"/>
      <c r="H580" s="25"/>
      <c r="I580" s="25"/>
      <c r="J580" s="25"/>
      <c r="M580" s="25"/>
      <c r="N580" s="25"/>
      <c r="O580" s="25"/>
    </row>
    <row r="581" spans="3:15">
      <c r="C581" s="25"/>
      <c r="D581" s="25"/>
      <c r="E581" s="25"/>
      <c r="F581" s="25"/>
      <c r="G581" s="25"/>
      <c r="H581" s="25"/>
      <c r="I581" s="25"/>
      <c r="J581" s="25"/>
      <c r="M581" s="25"/>
      <c r="N581" s="25"/>
      <c r="O581" s="25"/>
    </row>
    <row r="582" spans="3:15">
      <c r="C582" s="25"/>
      <c r="D582" s="25"/>
      <c r="E582" s="25"/>
      <c r="F582" s="25"/>
      <c r="G582" s="25"/>
      <c r="H582" s="25"/>
      <c r="I582" s="25"/>
      <c r="J582" s="25"/>
      <c r="M582" s="25"/>
      <c r="N582" s="25"/>
      <c r="O582" s="25"/>
    </row>
    <row r="583" spans="3:15">
      <c r="C583" s="25"/>
      <c r="D583" s="25"/>
      <c r="E583" s="25"/>
      <c r="F583" s="25"/>
      <c r="G583" s="25"/>
      <c r="H583" s="25"/>
      <c r="I583" s="25"/>
      <c r="J583" s="25"/>
      <c r="M583" s="25"/>
      <c r="N583" s="25"/>
      <c r="O583" s="25"/>
    </row>
    <row r="584" spans="3:15">
      <c r="C584" s="25"/>
      <c r="D584" s="25"/>
      <c r="E584" s="25"/>
      <c r="F584" s="25"/>
      <c r="G584" s="25"/>
      <c r="H584" s="25"/>
      <c r="I584" s="25"/>
      <c r="J584" s="25"/>
      <c r="M584" s="25"/>
      <c r="N584" s="25"/>
      <c r="O584" s="25"/>
    </row>
    <row r="585" spans="3:15">
      <c r="C585" s="25"/>
      <c r="D585" s="25"/>
      <c r="E585" s="25"/>
      <c r="F585" s="25"/>
      <c r="G585" s="25"/>
      <c r="H585" s="25"/>
      <c r="I585" s="25"/>
      <c r="J585" s="25"/>
      <c r="M585" s="25"/>
      <c r="N585" s="25"/>
      <c r="O585" s="25"/>
    </row>
    <row r="586" spans="3:15">
      <c r="C586" s="25"/>
      <c r="D586" s="25"/>
      <c r="E586" s="25"/>
      <c r="F586" s="25"/>
      <c r="G586" s="25"/>
      <c r="H586" s="25"/>
      <c r="I586" s="25"/>
      <c r="J586" s="25"/>
      <c r="M586" s="25"/>
      <c r="N586" s="25"/>
      <c r="O586" s="25"/>
    </row>
    <row r="587" spans="3:15">
      <c r="C587" s="25"/>
      <c r="D587" s="25"/>
      <c r="E587" s="25"/>
      <c r="F587" s="25"/>
      <c r="G587" s="25"/>
      <c r="H587" s="25"/>
      <c r="I587" s="25"/>
      <c r="J587" s="25"/>
      <c r="M587" s="25"/>
      <c r="N587" s="25"/>
      <c r="O587" s="25"/>
    </row>
    <row r="588" spans="3:15">
      <c r="C588" s="25"/>
      <c r="D588" s="25"/>
      <c r="E588" s="25"/>
      <c r="F588" s="25"/>
      <c r="G588" s="25"/>
      <c r="H588" s="25"/>
      <c r="I588" s="25"/>
      <c r="J588" s="25"/>
      <c r="M588" s="25"/>
      <c r="N588" s="25"/>
      <c r="O588" s="25"/>
    </row>
    <row r="589" spans="3:15">
      <c r="C589" s="25"/>
      <c r="D589" s="25"/>
      <c r="E589" s="25"/>
      <c r="F589" s="25"/>
      <c r="G589" s="25"/>
      <c r="H589" s="25"/>
      <c r="I589" s="25"/>
      <c r="J589" s="25"/>
      <c r="M589" s="25"/>
      <c r="N589" s="25"/>
      <c r="O589" s="25"/>
    </row>
    <row r="590" spans="3:15">
      <c r="C590" s="25"/>
      <c r="D590" s="25"/>
      <c r="E590" s="25"/>
      <c r="F590" s="25"/>
      <c r="G590" s="25"/>
      <c r="H590" s="25"/>
      <c r="I590" s="25"/>
      <c r="J590" s="25"/>
      <c r="M590" s="25"/>
      <c r="N590" s="25"/>
      <c r="O590" s="25"/>
    </row>
    <row r="591" spans="3:15">
      <c r="C591" s="25"/>
      <c r="D591" s="25"/>
      <c r="E591" s="25"/>
      <c r="F591" s="25"/>
      <c r="G591" s="25"/>
      <c r="H591" s="25"/>
      <c r="I591" s="25"/>
      <c r="J591" s="25"/>
      <c r="M591" s="25"/>
      <c r="N591" s="25"/>
      <c r="O591" s="25"/>
    </row>
    <row r="592" spans="3:15">
      <c r="C592" s="25"/>
      <c r="D592" s="25"/>
      <c r="E592" s="25"/>
      <c r="F592" s="25"/>
      <c r="G592" s="25"/>
      <c r="H592" s="25"/>
      <c r="I592" s="25"/>
      <c r="J592" s="25"/>
      <c r="M592" s="25"/>
      <c r="N592" s="25"/>
      <c r="O592" s="25"/>
    </row>
    <row r="593" spans="3:15">
      <c r="C593" s="25"/>
      <c r="D593" s="25"/>
      <c r="E593" s="25"/>
      <c r="F593" s="25"/>
      <c r="G593" s="25"/>
      <c r="H593" s="25"/>
      <c r="I593" s="25"/>
      <c r="J593" s="25"/>
      <c r="M593" s="25"/>
      <c r="N593" s="25"/>
      <c r="O593" s="25"/>
    </row>
    <row r="594" spans="3:15">
      <c r="C594" s="25"/>
      <c r="D594" s="25"/>
      <c r="E594" s="25"/>
      <c r="F594" s="25"/>
      <c r="G594" s="25"/>
      <c r="H594" s="25"/>
      <c r="I594" s="25"/>
      <c r="J594" s="25"/>
      <c r="M594" s="25"/>
      <c r="N594" s="25"/>
      <c r="O594" s="25"/>
    </row>
    <row r="595" spans="3:15">
      <c r="C595" s="25"/>
      <c r="D595" s="25"/>
      <c r="E595" s="25"/>
      <c r="F595" s="25"/>
      <c r="G595" s="25"/>
      <c r="H595" s="25"/>
      <c r="I595" s="25"/>
      <c r="J595" s="25"/>
      <c r="M595" s="25"/>
      <c r="N595" s="25"/>
      <c r="O595" s="25"/>
    </row>
    <row r="596" spans="3:15">
      <c r="C596" s="25"/>
      <c r="D596" s="25"/>
      <c r="E596" s="25"/>
      <c r="F596" s="25"/>
      <c r="G596" s="25"/>
      <c r="H596" s="25"/>
      <c r="I596" s="25"/>
      <c r="J596" s="25"/>
      <c r="M596" s="25"/>
      <c r="N596" s="25"/>
      <c r="O596" s="25"/>
    </row>
    <row r="597" spans="3:15">
      <c r="C597" s="25"/>
      <c r="D597" s="25"/>
      <c r="E597" s="25"/>
      <c r="F597" s="25"/>
      <c r="G597" s="25"/>
      <c r="H597" s="25"/>
      <c r="I597" s="25"/>
      <c r="J597" s="25"/>
      <c r="M597" s="25"/>
      <c r="N597" s="25"/>
      <c r="O597" s="25"/>
    </row>
    <row r="598" spans="3:15">
      <c r="C598" s="25"/>
      <c r="D598" s="25"/>
      <c r="E598" s="25"/>
      <c r="F598" s="25"/>
      <c r="G598" s="25"/>
      <c r="H598" s="25"/>
      <c r="I598" s="25"/>
      <c r="J598" s="25"/>
      <c r="M598" s="25"/>
      <c r="N598" s="25"/>
      <c r="O598" s="25"/>
    </row>
    <row r="599" spans="3:15">
      <c r="C599" s="25"/>
      <c r="D599" s="25"/>
      <c r="E599" s="25"/>
      <c r="F599" s="25"/>
      <c r="G599" s="25"/>
      <c r="H599" s="25"/>
      <c r="I599" s="25"/>
      <c r="J599" s="25"/>
      <c r="M599" s="25"/>
      <c r="N599" s="25"/>
      <c r="O599" s="25"/>
    </row>
    <row r="600" spans="3:15">
      <c r="C600" s="25"/>
      <c r="D600" s="25"/>
      <c r="E600" s="25"/>
      <c r="F600" s="25"/>
      <c r="G600" s="25"/>
      <c r="H600" s="25"/>
      <c r="I600" s="25"/>
      <c r="J600" s="25"/>
      <c r="M600" s="25"/>
      <c r="N600" s="25"/>
      <c r="O600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M A</cp:lastModifiedBy>
  <cp:lastPrinted>2012-06-27T21:37:14Z</cp:lastPrinted>
  <dcterms:created xsi:type="dcterms:W3CDTF">2011-11-04T21:28:06Z</dcterms:created>
  <dcterms:modified xsi:type="dcterms:W3CDTF">2026-02-10T07:21:33Z</dcterms:modified>
</cp:coreProperties>
</file>