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71AD4F0-913C-4CAA-89A9-31558E4190D7}" xr6:coauthVersionLast="47" xr6:coauthVersionMax="47" xr10:uidLastSave="{00000000-0000-0000-0000-000000000000}"/>
  <bookViews>
    <workbookView xWindow="-28920" yWindow="660" windowWidth="29040" windowHeight="15720" xr2:uid="{9D88036A-098D-4CCA-9F8E-59E01D5E3A23}"/>
  </bookViews>
  <sheets>
    <sheet name="LBO" sheetId="3" r:id="rId1"/>
  </sheets>
  <externalReferences>
    <externalReference r:id="rId2"/>
  </externalReferences>
  <definedNames>
    <definedName name="CASE">[1]LBO!$E$7</definedName>
    <definedName name="CIRC">[1]LBO!$E$6</definedName>
    <definedName name="PIK">[1]LBO!$E$8</definedName>
  </definedNames>
  <calcPr calcId="191029" calcMode="autoNoTable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6" i="3" l="1"/>
  <c r="I136" i="3"/>
  <c r="H136" i="3"/>
  <c r="G136" i="3"/>
  <c r="F136" i="3"/>
  <c r="E136" i="3"/>
  <c r="J116" i="3"/>
  <c r="I116" i="3"/>
  <c r="H116" i="3"/>
  <c r="G116" i="3"/>
  <c r="F116" i="3"/>
  <c r="E116" i="3"/>
  <c r="J93" i="3"/>
  <c r="I93" i="3"/>
  <c r="H93" i="3"/>
  <c r="G93" i="3"/>
  <c r="F93" i="3"/>
  <c r="E93" i="3"/>
  <c r="J105" i="3"/>
  <c r="I105" i="3"/>
  <c r="H105" i="3"/>
  <c r="G105" i="3"/>
  <c r="F105" i="3"/>
  <c r="E105" i="3"/>
  <c r="J124" i="3"/>
  <c r="I124" i="3"/>
  <c r="H124" i="3"/>
  <c r="G124" i="3"/>
  <c r="F124" i="3"/>
  <c r="F118" i="3"/>
  <c r="F14" i="3"/>
  <c r="F12" i="3"/>
  <c r="J138" i="3"/>
  <c r="J137" i="3" l="1"/>
  <c r="E133" i="3"/>
  <c r="F130" i="3" s="1"/>
  <c r="J132" i="3"/>
  <c r="I132" i="3"/>
  <c r="H132" i="3"/>
  <c r="G132" i="3"/>
  <c r="F132" i="3"/>
  <c r="G125" i="3"/>
  <c r="H125" i="3"/>
  <c r="F125" i="3"/>
  <c r="F121" i="3"/>
  <c r="F119" i="3"/>
  <c r="E109" i="3"/>
  <c r="J108" i="3"/>
  <c r="I108" i="3"/>
  <c r="H108" i="3"/>
  <c r="G108" i="3"/>
  <c r="F108" i="3"/>
  <c r="E108" i="3"/>
  <c r="J107" i="3"/>
  <c r="I107" i="3"/>
  <c r="H107" i="3"/>
  <c r="G107" i="3"/>
  <c r="F107" i="3"/>
  <c r="E107" i="3"/>
  <c r="I89" i="3"/>
  <c r="I106" i="3" s="1"/>
  <c r="H89" i="3"/>
  <c r="H106" i="3" s="1"/>
  <c r="E102" i="3"/>
  <c r="E95" i="3"/>
  <c r="G53" i="3"/>
  <c r="F53" i="3"/>
  <c r="G62" i="3"/>
  <c r="F49" i="3"/>
  <c r="G49" i="3"/>
  <c r="G55" i="3" s="1"/>
  <c r="F133" i="3" l="1"/>
  <c r="G130" i="3" s="1"/>
  <c r="G118" i="3"/>
  <c r="F131" i="3"/>
  <c r="J139" i="3"/>
  <c r="J125" i="3"/>
  <c r="I125" i="3"/>
  <c r="F55" i="3"/>
  <c r="H52" i="3" s="1"/>
  <c r="F99" i="3"/>
  <c r="F109" i="3" s="1"/>
  <c r="F89" i="3"/>
  <c r="F106" i="3" s="1"/>
  <c r="F95" i="3"/>
  <c r="F102" i="3"/>
  <c r="G95" i="3"/>
  <c r="G102" i="3"/>
  <c r="J89" i="3"/>
  <c r="J106" i="3" s="1"/>
  <c r="G65" i="3"/>
  <c r="F65" i="3"/>
  <c r="G121" i="3" l="1"/>
  <c r="G119" i="3"/>
  <c r="G131" i="3" s="1"/>
  <c r="H48" i="3"/>
  <c r="H51" i="3"/>
  <c r="H53" i="3" s="1"/>
  <c r="F110" i="3"/>
  <c r="H47" i="3"/>
  <c r="G99" i="3"/>
  <c r="G109" i="3" s="1"/>
  <c r="F90" i="3"/>
  <c r="G89" i="3"/>
  <c r="G106" i="3" s="1"/>
  <c r="E89" i="3"/>
  <c r="H95" i="3"/>
  <c r="H102" i="3"/>
  <c r="H99" i="3"/>
  <c r="H109" i="3" s="1"/>
  <c r="H110" i="3" s="1"/>
  <c r="H90" i="3"/>
  <c r="H60" i="3"/>
  <c r="H59" i="3"/>
  <c r="H63" i="3"/>
  <c r="H62" i="3"/>
  <c r="H61" i="3"/>
  <c r="H49" i="3" l="1"/>
  <c r="G133" i="3"/>
  <c r="H130" i="3" s="1"/>
  <c r="H118" i="3"/>
  <c r="G110" i="3"/>
  <c r="E90" i="3"/>
  <c r="E106" i="3"/>
  <c r="E110" i="3" s="1"/>
  <c r="G90" i="3"/>
  <c r="I95" i="3"/>
  <c r="I99" i="3"/>
  <c r="I109" i="3" s="1"/>
  <c r="I110" i="3" s="1"/>
  <c r="I102" i="3"/>
  <c r="I90" i="3"/>
  <c r="H55" i="3"/>
  <c r="H65" i="3"/>
  <c r="H121" i="3" l="1"/>
  <c r="H119" i="3"/>
  <c r="H131" i="3" s="1"/>
  <c r="J102" i="3"/>
  <c r="J99" i="3"/>
  <c r="J109" i="3" s="1"/>
  <c r="J110" i="3" s="1"/>
  <c r="J95" i="3"/>
  <c r="J90" i="3"/>
  <c r="H133" i="3" l="1"/>
  <c r="I130" i="3" s="1"/>
  <c r="I118" i="3"/>
  <c r="I121" i="3" l="1"/>
  <c r="I119" i="3"/>
  <c r="I131" i="3" s="1"/>
  <c r="I133" i="3" l="1"/>
  <c r="J130" i="3" s="1"/>
  <c r="J118" i="3"/>
  <c r="J119" i="3" l="1"/>
  <c r="J131" i="3" s="1"/>
  <c r="J121" i="3"/>
  <c r="J133" i="3" s="1"/>
  <c r="J140" i="3" s="1"/>
  <c r="J141" i="3" s="1"/>
  <c r="J143" i="3" s="1"/>
  <c r="J147" i="3" s="1"/>
  <c r="J148" i="3" s="1"/>
</calcChain>
</file>

<file path=xl/sharedStrings.xml><?xml version="1.0" encoding="utf-8"?>
<sst xmlns="http://schemas.openxmlformats.org/spreadsheetml/2006/main" count="167" uniqueCount="90">
  <si>
    <t>LBO</t>
  </si>
  <si>
    <t>Assumptions</t>
  </si>
  <si>
    <t>Capital Structure</t>
  </si>
  <si>
    <t>Amount</t>
  </si>
  <si>
    <t>Cost</t>
  </si>
  <si>
    <t>Bank Debt</t>
  </si>
  <si>
    <t>Sr. Notes</t>
  </si>
  <si>
    <t>LTM Financials</t>
  </si>
  <si>
    <t>Existing Net Debt</t>
  </si>
  <si>
    <t>Revenue</t>
  </si>
  <si>
    <t>Operating Assumptions</t>
  </si>
  <si>
    <t>EBITDA</t>
  </si>
  <si>
    <t>Revenue Growth</t>
  </si>
  <si>
    <t>D&amp;A</t>
  </si>
  <si>
    <t>Fees &amp; Expenses</t>
  </si>
  <si>
    <t>YoY margin expansion</t>
  </si>
  <si>
    <t>Capex</t>
  </si>
  <si>
    <t>Tax Rate</t>
  </si>
  <si>
    <t>NWC</t>
  </si>
  <si>
    <t>LTM EBITDA</t>
  </si>
  <si>
    <t>Equity Value</t>
  </si>
  <si>
    <t>EBITDA Multiple</t>
  </si>
  <si>
    <t>Enterprise Value</t>
  </si>
  <si>
    <t>Financials</t>
  </si>
  <si>
    <t>Sources and Uses</t>
  </si>
  <si>
    <t>Sources</t>
  </si>
  <si>
    <t>Uses</t>
  </si>
  <si>
    <t>xEBITDA</t>
  </si>
  <si>
    <t>% Capital</t>
  </si>
  <si>
    <t>Total Debt</t>
  </si>
  <si>
    <t>Fees and Expenses</t>
  </si>
  <si>
    <t>Total Sources</t>
  </si>
  <si>
    <t>Total Uses</t>
  </si>
  <si>
    <t>Senior Notes</t>
  </si>
  <si>
    <t>Debt Retirement</t>
  </si>
  <si>
    <t>Operating Model</t>
  </si>
  <si>
    <t xml:space="preserve">   % sales</t>
  </si>
  <si>
    <t>EBIT</t>
  </si>
  <si>
    <t>Interest</t>
  </si>
  <si>
    <t>EBT</t>
  </si>
  <si>
    <t>Taxes</t>
  </si>
  <si>
    <t>Net Income</t>
  </si>
  <si>
    <t>Net Working Capital</t>
  </si>
  <si>
    <t>Levered Cash Flow</t>
  </si>
  <si>
    <t>CapEx</t>
  </si>
  <si>
    <t>Change in NWC</t>
  </si>
  <si>
    <t>Debt Schedule</t>
  </si>
  <si>
    <t>IRR</t>
  </si>
  <si>
    <t>Exit Multiple</t>
  </si>
  <si>
    <t>Sponsor Equity at Entry</t>
  </si>
  <si>
    <t>MOIC</t>
  </si>
  <si>
    <t>Net Debt</t>
  </si>
  <si>
    <t>For Reference</t>
  </si>
  <si>
    <t>EBITDA at Exit</t>
  </si>
  <si>
    <t>LBO Model</t>
  </si>
  <si>
    <t>%growth</t>
  </si>
  <si>
    <t xml:space="preserve"> %sales</t>
  </si>
  <si>
    <t>%sales</t>
  </si>
  <si>
    <t>Entry</t>
  </si>
  <si>
    <t>$mil</t>
  </si>
  <si>
    <t>Exit</t>
  </si>
  <si>
    <t>Rollover Equity</t>
  </si>
  <si>
    <t>New Sponser Cash (Liv)</t>
  </si>
  <si>
    <t>Rollover Equity (Family/Liv)</t>
  </si>
  <si>
    <t>Equity Payment (Public)</t>
  </si>
  <si>
    <t>Special</t>
  </si>
  <si>
    <t>Total equity</t>
  </si>
  <si>
    <t>FY24</t>
  </si>
  <si>
    <t>FY25</t>
  </si>
  <si>
    <t>FY26</t>
  </si>
  <si>
    <t>FY27</t>
  </si>
  <si>
    <t>FY28</t>
  </si>
  <si>
    <t>FY29</t>
  </si>
  <si>
    <t>Cash Flow Items</t>
  </si>
  <si>
    <t>%tax</t>
  </si>
  <si>
    <t>% sales</t>
  </si>
  <si>
    <t>+</t>
  </si>
  <si>
    <t>-</t>
  </si>
  <si>
    <t>Paydown</t>
  </si>
  <si>
    <t>Ending Balance</t>
  </si>
  <si>
    <t>Beginning Balance</t>
  </si>
  <si>
    <t>Ownership</t>
  </si>
  <si>
    <t>Total Equity Value</t>
  </si>
  <si>
    <t>Sponsor Equity Value at exit</t>
  </si>
  <si>
    <t xml:space="preserve">‎ </t>
  </si>
  <si>
    <t>Market cap at $27.50/share plus premium adjustments.</t>
  </si>
  <si>
    <t>Consolidated EBITDA (WME + TKO Stake).</t>
  </si>
  <si>
    <t>Company is Taken Private," the group as a whole owns 100% of the company.</t>
  </si>
  <si>
    <t>Last Modified 3/1/2026</t>
  </si>
  <si>
    <t>assuming 800mil in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</si>
</sst>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164" formatCode="#,##0.0\x;&quot;NM&quot;_x"/>
    <numFmt numFmtId="165" formatCode="#,##0.0%_);\(#,##0.0%\)"/>
    <numFmt numFmtId="166" formatCode="#,##0_);\(#,##0\);\-_)"/>
    <numFmt numFmtId="167" formatCode="0_);\(0\)"/>
    <numFmt numFmtId="168" formatCode="0.0%_)"/>
    <numFmt numFmtId="169" formatCode="0.0\x_);\(0.0\x\);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0"/>
      </bottom>
      <diagonal/>
    </border>
    <border>
      <left/>
      <right style="thin">
        <color theme="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2"/>
      </top>
      <bottom style="thin">
        <color theme="2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2"/>
      </top>
      <bottom style="thin">
        <color theme="2"/>
      </bottom>
      <diagonal/>
    </border>
    <border>
      <left style="thin">
        <color theme="0" tint="-0.14999847407452621"/>
      </left>
      <right style="thin">
        <color theme="0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2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6">
    <xf numFmtId="0" fontId="0" fillId="0" borderId="0" xfId="0"/>
    <xf numFmtId="0" fontId="1" fillId="0" borderId="0" xfId="0" applyFont="1"/>
    <xf numFmtId="0" fontId="5" fillId="2" borderId="0" xfId="0" applyFont="1" applyFill="1" applyAlignment="1">
      <alignment horizontal="left"/>
    </xf>
    <xf numFmtId="0" fontId="5" fillId="4" borderId="0" xfId="0" applyFont="1" applyFill="1"/>
    <xf numFmtId="0" fontId="4" fillId="0" borderId="2" xfId="0" applyFont="1" applyBorder="1" applyAlignment="1">
      <alignment horizontal="left"/>
    </xf>
    <xf numFmtId="0" fontId="5" fillId="4" borderId="0" xfId="0" applyFont="1" applyFill="1" applyAlignment="1">
      <alignment horizontal="left"/>
    </xf>
    <xf numFmtId="0" fontId="1" fillId="0" borderId="1" xfId="0" applyFont="1" applyBorder="1"/>
    <xf numFmtId="0" fontId="1" fillId="5" borderId="0" xfId="0" applyFont="1" applyFill="1"/>
    <xf numFmtId="0" fontId="1" fillId="5" borderId="0" xfId="0" applyFont="1" applyFill="1" applyAlignment="1">
      <alignment horizontal="right"/>
    </xf>
    <xf numFmtId="3" fontId="1" fillId="5" borderId="0" xfId="0" applyNumberFormat="1" applyFont="1" applyFill="1"/>
    <xf numFmtId="3" fontId="1" fillId="2" borderId="0" xfId="0" applyNumberFormat="1" applyFont="1" applyFill="1"/>
    <xf numFmtId="165" fontId="1" fillId="2" borderId="0" xfId="0" applyNumberFormat="1" applyFont="1" applyFill="1"/>
    <xf numFmtId="0" fontId="1" fillId="2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/>
    <xf numFmtId="0" fontId="0" fillId="0" borderId="3" xfId="0" applyBorder="1"/>
    <xf numFmtId="0" fontId="0" fillId="0" borderId="2" xfId="0" applyBorder="1"/>
    <xf numFmtId="0" fontId="0" fillId="0" borderId="8" xfId="0" applyBorder="1" applyAlignment="1">
      <alignment horizontal="left"/>
    </xf>
    <xf numFmtId="0" fontId="0" fillId="0" borderId="1" xfId="0" applyBorder="1"/>
    <xf numFmtId="0" fontId="0" fillId="0" borderId="4" xfId="0" applyBorder="1"/>
    <xf numFmtId="0" fontId="0" fillId="0" borderId="2" xfId="0" applyBorder="1" applyAlignment="1">
      <alignment horizontal="left"/>
    </xf>
    <xf numFmtId="0" fontId="0" fillId="3" borderId="2" xfId="0" applyFill="1" applyBorder="1"/>
    <xf numFmtId="37" fontId="0" fillId="0" borderId="0" xfId="0" applyNumberFormat="1"/>
    <xf numFmtId="3" fontId="0" fillId="3" borderId="1" xfId="0" applyNumberFormat="1" applyFill="1" applyBorder="1"/>
    <xf numFmtId="167" fontId="0" fillId="3" borderId="1" xfId="0" applyNumberFormat="1" applyFill="1" applyBorder="1"/>
    <xf numFmtId="37" fontId="0" fillId="3" borderId="1" xfId="0" applyNumberFormat="1" applyFill="1" applyBorder="1"/>
    <xf numFmtId="9" fontId="0" fillId="0" borderId="2" xfId="0" applyNumberFormat="1" applyBorder="1"/>
    <xf numFmtId="0" fontId="0" fillId="3" borderId="1" xfId="0" applyFill="1" applyBorder="1"/>
    <xf numFmtId="166" fontId="0" fillId="0" borderId="0" xfId="0" applyNumberFormat="1"/>
    <xf numFmtId="10" fontId="0" fillId="3" borderId="1" xfId="0" applyNumberFormat="1" applyFill="1" applyBorder="1"/>
    <xf numFmtId="2" fontId="0" fillId="3" borderId="1" xfId="0" applyNumberFormat="1" applyFill="1" applyBorder="1"/>
    <xf numFmtId="165" fontId="0" fillId="0" borderId="0" xfId="0" applyNumberFormat="1"/>
    <xf numFmtId="0" fontId="0" fillId="3" borderId="0" xfId="0" applyFill="1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4" fontId="0" fillId="0" borderId="0" xfId="0" applyNumberFormat="1" applyAlignment="1">
      <alignment horizontal="right"/>
    </xf>
    <xf numFmtId="0" fontId="0" fillId="5" borderId="10" xfId="0" applyFill="1" applyBorder="1" applyAlignment="1">
      <alignment horizontal="left"/>
    </xf>
    <xf numFmtId="0" fontId="0" fillId="5" borderId="0" xfId="0" applyFill="1"/>
    <xf numFmtId="0" fontId="3" fillId="0" borderId="0" xfId="0" applyFont="1"/>
    <xf numFmtId="10" fontId="0" fillId="0" borderId="0" xfId="0" applyNumberFormat="1"/>
    <xf numFmtId="6" fontId="0" fillId="0" borderId="0" xfId="0" applyNumberFormat="1"/>
    <xf numFmtId="3" fontId="0" fillId="0" borderId="1" xfId="0" applyNumberFormat="1" applyBorder="1"/>
    <xf numFmtId="166" fontId="0" fillId="3" borderId="1" xfId="0" applyNumberFormat="1" applyFill="1" applyBorder="1"/>
    <xf numFmtId="0" fontId="0" fillId="0" borderId="6" xfId="0" applyBorder="1"/>
    <xf numFmtId="0" fontId="0" fillId="0" borderId="9" xfId="0" applyBorder="1"/>
    <xf numFmtId="0" fontId="0" fillId="0" borderId="7" xfId="0" applyBorder="1"/>
    <xf numFmtId="0" fontId="0" fillId="0" borderId="5" xfId="0" applyBorder="1"/>
    <xf numFmtId="0" fontId="0" fillId="0" borderId="0" xfId="0" applyAlignment="1">
      <alignment horizontal="left"/>
    </xf>
    <xf numFmtId="4" fontId="0" fillId="0" borderId="1" xfId="0" applyNumberFormat="1" applyBorder="1"/>
    <xf numFmtId="0" fontId="5" fillId="0" borderId="0" xfId="0" applyFont="1"/>
    <xf numFmtId="3" fontId="5" fillId="0" borderId="1" xfId="0" applyNumberFormat="1" applyFont="1" applyBorder="1"/>
    <xf numFmtId="0" fontId="7" fillId="3" borderId="1" xfId="0" applyFont="1" applyFill="1" applyBorder="1"/>
    <xf numFmtId="10" fontId="0" fillId="0" borderId="1" xfId="0" applyNumberFormat="1" applyBorder="1"/>
    <xf numFmtId="169" fontId="0" fillId="3" borderId="1" xfId="0" applyNumberFormat="1" applyFill="1" applyBorder="1"/>
    <xf numFmtId="0" fontId="8" fillId="0" borderId="0" xfId="0" applyFont="1"/>
    <xf numFmtId="169" fontId="0" fillId="0" borderId="0" xfId="0" applyNumberFormat="1"/>
    <xf numFmtId="169" fontId="0" fillId="0" borderId="0" xfId="0" applyNumberFormat="1" applyAlignment="1">
      <alignment horizontal="right"/>
    </xf>
    <xf numFmtId="169" fontId="1" fillId="2" borderId="0" xfId="0" applyNumberFormat="1" applyFont="1" applyFill="1"/>
    <xf numFmtId="0" fontId="0" fillId="5" borderId="11" xfId="0" applyFill="1" applyBorder="1" applyAlignment="1">
      <alignment horizontal="left"/>
    </xf>
    <xf numFmtId="3" fontId="3" fillId="0" borderId="1" xfId="0" applyNumberFormat="1" applyFont="1" applyBorder="1"/>
    <xf numFmtId="6" fontId="0" fillId="0" borderId="1" xfId="0" applyNumberFormat="1" applyBorder="1"/>
    <xf numFmtId="3" fontId="5" fillId="3" borderId="1" xfId="0" applyNumberFormat="1" applyFont="1" applyFill="1" applyBorder="1"/>
    <xf numFmtId="3" fontId="5" fillId="0" borderId="0" xfId="0" applyNumberFormat="1" applyFont="1"/>
    <xf numFmtId="4" fontId="1" fillId="0" borderId="0" xfId="0" applyNumberFormat="1" applyFont="1"/>
    <xf numFmtId="169" fontId="0" fillId="0" borderId="1" xfId="0" applyNumberFormat="1" applyBorder="1"/>
    <xf numFmtId="0" fontId="0" fillId="0" borderId="12" xfId="0" applyBorder="1"/>
    <xf numFmtId="0" fontId="0" fillId="4" borderId="7" xfId="0" applyFill="1" applyBorder="1"/>
    <xf numFmtId="0" fontId="0" fillId="0" borderId="13" xfId="0" applyBorder="1"/>
    <xf numFmtId="168" fontId="3" fillId="0" borderId="7" xfId="0" applyNumberFormat="1" applyFont="1" applyBorder="1"/>
    <xf numFmtId="3" fontId="3" fillId="0" borderId="7" xfId="0" applyNumberFormat="1" applyFont="1" applyBorder="1"/>
    <xf numFmtId="166" fontId="0" fillId="0" borderId="7" xfId="0" applyNumberFormat="1" applyBorder="1"/>
    <xf numFmtId="3" fontId="0" fillId="0" borderId="7" xfId="0" applyNumberFormat="1" applyBorder="1"/>
    <xf numFmtId="165" fontId="3" fillId="0" borderId="7" xfId="0" applyNumberFormat="1" applyFont="1" applyBorder="1"/>
    <xf numFmtId="4" fontId="0" fillId="0" borderId="7" xfId="0" applyNumberFormat="1" applyBorder="1"/>
    <xf numFmtId="166" fontId="1" fillId="0" borderId="7" xfId="0" applyNumberFormat="1" applyFont="1" applyBorder="1"/>
    <xf numFmtId="0" fontId="8" fillId="0" borderId="7" xfId="0" applyFont="1" applyBorder="1" applyAlignment="1">
      <alignment horizontal="left" vertical="top" wrapText="1"/>
    </xf>
    <xf numFmtId="0" fontId="0" fillId="2" borderId="8" xfId="0" applyFill="1" applyBorder="1" applyAlignment="1">
      <alignment horizontal="left"/>
    </xf>
    <xf numFmtId="0" fontId="0" fillId="0" borderId="14" xfId="0" applyBorder="1"/>
    <xf numFmtId="0" fontId="0" fillId="4" borderId="15" xfId="0" applyFill="1" applyBorder="1"/>
    <xf numFmtId="0" fontId="0" fillId="0" borderId="15" xfId="0" applyBorder="1"/>
    <xf numFmtId="0" fontId="1" fillId="5" borderId="15" xfId="0" applyFont="1" applyFill="1" applyBorder="1"/>
    <xf numFmtId="0" fontId="1" fillId="0" borderId="15" xfId="0" applyFont="1" applyBorder="1"/>
    <xf numFmtId="0" fontId="1" fillId="3" borderId="14" xfId="0" applyFont="1" applyFill="1" applyBorder="1"/>
    <xf numFmtId="0" fontId="3" fillId="0" borderId="14" xfId="0" applyFont="1" applyBorder="1"/>
    <xf numFmtId="166" fontId="0" fillId="0" borderId="14" xfId="0" applyNumberFormat="1" applyBorder="1"/>
    <xf numFmtId="0" fontId="3" fillId="0" borderId="15" xfId="0" applyFont="1" applyBorder="1"/>
    <xf numFmtId="0" fontId="7" fillId="3" borderId="14" xfId="0" applyFont="1" applyFill="1" applyBorder="1"/>
    <xf numFmtId="0" fontId="5" fillId="0" borderId="15" xfId="0" applyFont="1" applyBorder="1"/>
    <xf numFmtId="0" fontId="0" fillId="3" borderId="14" xfId="0" applyFill="1" applyBorder="1"/>
    <xf numFmtId="0" fontId="0" fillId="3" borderId="15" xfId="0" applyFill="1" applyBorder="1"/>
    <xf numFmtId="0" fontId="0" fillId="0" borderId="16" xfId="0" applyBorder="1"/>
    <xf numFmtId="0" fontId="1" fillId="2" borderId="14" xfId="0" applyFont="1" applyFill="1" applyBorder="1"/>
    <xf numFmtId="0" fontId="1" fillId="2" borderId="0" xfId="0" applyFont="1" applyFill="1"/>
    <xf numFmtId="0" fontId="1" fillId="2" borderId="15" xfId="0" applyFont="1" applyFill="1" applyBorder="1"/>
    <xf numFmtId="3" fontId="0" fillId="0" borderId="17" xfId="0" applyNumberFormat="1" applyBorder="1"/>
    <xf numFmtId="0" fontId="1" fillId="0" borderId="18" xfId="0" applyFont="1" applyBorder="1"/>
    <xf numFmtId="0" fontId="1" fillId="0" borderId="19" xfId="0" applyFont="1" applyBorder="1"/>
    <xf numFmtId="0" fontId="0" fillId="0" borderId="19" xfId="0" applyBorder="1"/>
    <xf numFmtId="0" fontId="0" fillId="3" borderId="22" xfId="0" applyFill="1" applyBorder="1"/>
    <xf numFmtId="0" fontId="1" fillId="0" borderId="21" xfId="0" applyFont="1" applyBorder="1"/>
    <xf numFmtId="0" fontId="0" fillId="0" borderId="23" xfId="0" applyBorder="1"/>
    <xf numFmtId="3" fontId="0" fillId="0" borderId="22" xfId="0" applyNumberFormat="1" applyBorder="1"/>
    <xf numFmtId="3" fontId="0" fillId="0" borderId="24" xfId="0" applyNumberFormat="1" applyBorder="1"/>
    <xf numFmtId="0" fontId="1" fillId="0" borderId="23" xfId="0" applyFont="1" applyBorder="1"/>
    <xf numFmtId="3" fontId="1" fillId="0" borderId="24" xfId="0" applyNumberFormat="1" applyFont="1" applyBorder="1"/>
    <xf numFmtId="0" fontId="0" fillId="3" borderId="25" xfId="0" applyFill="1" applyBorder="1"/>
    <xf numFmtId="166" fontId="0" fillId="3" borderId="22" xfId="0" applyNumberFormat="1" applyFill="1" applyBorder="1"/>
    <xf numFmtId="10" fontId="0" fillId="0" borderId="22" xfId="0" applyNumberFormat="1" applyBorder="1"/>
    <xf numFmtId="0" fontId="1" fillId="3" borderId="26" xfId="0" applyFont="1" applyFill="1" applyBorder="1"/>
    <xf numFmtId="166" fontId="0" fillId="3" borderId="27" xfId="0" applyNumberFormat="1" applyFill="1" applyBorder="1"/>
    <xf numFmtId="166" fontId="0" fillId="0" borderId="28" xfId="0" applyNumberFormat="1" applyBorder="1"/>
    <xf numFmtId="0" fontId="1" fillId="3" borderId="29" xfId="0" applyFont="1" applyFill="1" applyBorder="1"/>
    <xf numFmtId="166" fontId="0" fillId="3" borderId="20" xfId="0" applyNumberFormat="1" applyFill="1" applyBorder="1"/>
    <xf numFmtId="166" fontId="0" fillId="3" borderId="20" xfId="0" applyNumberFormat="1" applyFill="1" applyBorder="1" applyAlignment="1">
      <alignment wrapText="1"/>
    </xf>
    <xf numFmtId="166" fontId="0" fillId="0" borderId="19" xfId="0" applyNumberFormat="1" applyBorder="1"/>
    <xf numFmtId="10" fontId="0" fillId="0" borderId="20" xfId="0" applyNumberFormat="1" applyBorder="1"/>
    <xf numFmtId="169" fontId="1" fillId="0" borderId="27" xfId="0" applyNumberFormat="1" applyFont="1" applyBorder="1"/>
    <xf numFmtId="10" fontId="1" fillId="0" borderId="20" xfId="0" applyNumberFormat="1" applyFont="1" applyBorder="1"/>
    <xf numFmtId="0" fontId="0" fillId="0" borderId="30" xfId="0" applyBorder="1"/>
    <xf numFmtId="0" fontId="0" fillId="0" borderId="17" xfId="0" applyBorder="1"/>
    <xf numFmtId="0" fontId="0" fillId="3" borderId="29" xfId="0" applyFill="1" applyBorder="1" applyAlignment="1">
      <alignment horizontal="left"/>
    </xf>
    <xf numFmtId="0" fontId="0" fillId="3" borderId="20" xfId="0" applyFill="1" applyBorder="1"/>
    <xf numFmtId="0" fontId="1" fillId="3" borderId="20" xfId="0" applyFont="1" applyFill="1" applyBorder="1"/>
    <xf numFmtId="0" fontId="1" fillId="3" borderId="1" xfId="0" applyFont="1" applyFill="1" applyBorder="1"/>
    <xf numFmtId="0" fontId="0" fillId="3" borderId="17" xfId="0" applyFill="1" applyBorder="1"/>
    <xf numFmtId="0" fontId="0" fillId="3" borderId="30" xfId="0" applyFill="1" applyBorder="1"/>
    <xf numFmtId="0" fontId="0" fillId="0" borderId="18" xfId="0" applyBorder="1"/>
    <xf numFmtId="0" fontId="1" fillId="3" borderId="29" xfId="0" applyFont="1" applyFill="1" applyBorder="1" applyAlignment="1">
      <alignment horizontal="left"/>
    </xf>
    <xf numFmtId="3" fontId="0" fillId="3" borderId="17" xfId="0" applyNumberFormat="1" applyFill="1" applyBorder="1"/>
    <xf numFmtId="10" fontId="0" fillId="3" borderId="17" xfId="0" applyNumberFormat="1" applyFill="1" applyBorder="1"/>
    <xf numFmtId="3" fontId="0" fillId="3" borderId="22" xfId="0" applyNumberFormat="1" applyFill="1" applyBorder="1"/>
    <xf numFmtId="0" fontId="0" fillId="3" borderId="24" xfId="0" applyFill="1" applyBorder="1"/>
    <xf numFmtId="3" fontId="0" fillId="0" borderId="19" xfId="0" applyNumberFormat="1" applyBorder="1"/>
    <xf numFmtId="164" fontId="0" fillId="0" borderId="19" xfId="0" applyNumberFormat="1" applyBorder="1"/>
    <xf numFmtId="165" fontId="0" fillId="0" borderId="19" xfId="0" applyNumberFormat="1" applyBorder="1"/>
    <xf numFmtId="0" fontId="0" fillId="0" borderId="31" xfId="0" applyBorder="1"/>
    <xf numFmtId="0" fontId="0" fillId="0" borderId="28" xfId="0" applyBorder="1"/>
    <xf numFmtId="3" fontId="0" fillId="0" borderId="28" xfId="0" applyNumberFormat="1" applyBorder="1"/>
    <xf numFmtId="169" fontId="0" fillId="0" borderId="28" xfId="0" applyNumberFormat="1" applyBorder="1"/>
    <xf numFmtId="165" fontId="0" fillId="0" borderId="28" xfId="0" applyNumberFormat="1" applyBorder="1"/>
    <xf numFmtId="169" fontId="0" fillId="0" borderId="19" xfId="0" applyNumberFormat="1" applyBorder="1"/>
    <xf numFmtId="0" fontId="1" fillId="0" borderId="0" xfId="0" applyFont="1" applyAlignment="1">
      <alignment horizontal="right"/>
    </xf>
    <xf numFmtId="3" fontId="1" fillId="0" borderId="19" xfId="0" applyNumberFormat="1" applyFont="1" applyBorder="1" applyAlignment="1">
      <alignment horizontal="right"/>
    </xf>
    <xf numFmtId="0" fontId="1" fillId="0" borderId="19" xfId="0" applyFont="1" applyBorder="1" applyAlignment="1">
      <alignment horizontal="right"/>
    </xf>
    <xf numFmtId="0" fontId="3" fillId="0" borderId="30" xfId="0" applyFont="1" applyBorder="1"/>
    <xf numFmtId="10" fontId="0" fillId="0" borderId="17" xfId="0" applyNumberFormat="1" applyBorder="1"/>
    <xf numFmtId="0" fontId="3" fillId="0" borderId="29" xfId="0" applyFont="1" applyBorder="1"/>
    <xf numFmtId="0" fontId="0" fillId="0" borderId="20" xfId="0" applyBorder="1"/>
    <xf numFmtId="0" fontId="3" fillId="0" borderId="25" xfId="0" applyFont="1" applyBorder="1"/>
    <xf numFmtId="0" fontId="0" fillId="0" borderId="22" xfId="0" applyBorder="1"/>
    <xf numFmtId="0" fontId="0" fillId="0" borderId="26" xfId="0" applyBorder="1"/>
    <xf numFmtId="0" fontId="0" fillId="0" borderId="27" xfId="0" applyBorder="1"/>
    <xf numFmtId="3" fontId="0" fillId="0" borderId="27" xfId="0" applyNumberFormat="1" applyBorder="1"/>
    <xf numFmtId="3" fontId="0" fillId="3" borderId="27" xfId="0" applyNumberFormat="1" applyFill="1" applyBorder="1"/>
    <xf numFmtId="0" fontId="1" fillId="0" borderId="8" xfId="0" applyFont="1" applyBorder="1" applyAlignment="1">
      <alignment horizontal="left"/>
    </xf>
  </cellXfs>
  <cellStyles count="2">
    <cellStyle name="Hyperlink 2" xfId="1" xr:uid="{22824541-EAD9-1F4E-8E56-EC65374A281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448647</xdr:colOff>
      <xdr:row>0</xdr:row>
      <xdr:rowOff>38100</xdr:rowOff>
    </xdr:from>
    <xdr:to>
      <xdr:col>15</xdr:col>
      <xdr:colOff>263822</xdr:colOff>
      <xdr:row>5</xdr:row>
      <xdr:rowOff>137120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A710D7-E169-EC50-625B-23067E040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382847" y="38100"/>
          <a:ext cx="1015325" cy="1007705"/>
        </a:xfrm>
        <a:prstGeom prst="rect">
          <a:avLst/>
        </a:prstGeom>
      </xdr:spPr>
    </xdr:pic>
    <xdr:clientData/>
  </xdr:twoCellAnchor>
  <xdr:twoCellAnchor editAs="oneCell">
    <xdr:from>
      <xdr:col>14</xdr:col>
      <xdr:colOff>263862</xdr:colOff>
      <xdr:row>4</xdr:row>
      <xdr:rowOff>27606</xdr:rowOff>
    </xdr:from>
    <xdr:to>
      <xdr:col>16</xdr:col>
      <xdr:colOff>111472</xdr:colOff>
      <xdr:row>5</xdr:row>
      <xdr:rowOff>59055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F709EE5-3E68-4AB0-AC7A-8CDEBB73C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798137" y="751506"/>
          <a:ext cx="1047760" cy="21623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en/Desktop/rareliquid/Excels/2024.0.13%20-%20Burger%20King%20LBO%20Stream%20-%20Part%202%20-%20vSTRE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BO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D5621-F4A8-40E0-BD7C-E3B2A6B41CD4}">
  <dimension ref="A1:CT610"/>
  <sheetViews>
    <sheetView tabSelected="1" topLeftCell="A121" zoomScaleNormal="100" workbookViewId="0">
      <selection activeCell="K141" sqref="K141"/>
    </sheetView>
  </sheetViews>
  <sheetFormatPr defaultColWidth="8.77734375" defaultRowHeight="14.4" x14ac:dyDescent="0.3"/>
  <cols>
    <col min="1" max="2" width="8.77734375" style="48"/>
    <col min="6" max="6" width="9" bestFit="1" customWidth="1"/>
    <col min="10" max="10" width="9.33203125" customWidth="1"/>
    <col min="11" max="11" width="6.21875" style="46" customWidth="1"/>
    <col min="12" max="12" width="1.5546875" customWidth="1"/>
    <col min="13" max="13" width="1" customWidth="1"/>
    <col min="14" max="98" width="8.77734375" style="16"/>
  </cols>
  <sheetData>
    <row r="1" spans="1:50" x14ac:dyDescent="0.3">
      <c r="A1" s="5" t="s">
        <v>88</v>
      </c>
      <c r="B1" s="13"/>
      <c r="C1" s="14"/>
      <c r="D1" s="14"/>
      <c r="E1" s="14"/>
      <c r="F1" s="3" t="s">
        <v>54</v>
      </c>
      <c r="G1" s="3"/>
      <c r="H1" s="14"/>
      <c r="I1" s="14"/>
      <c r="J1" s="3"/>
      <c r="K1" s="67"/>
      <c r="L1" s="19"/>
      <c r="M1" s="15"/>
    </row>
    <row r="2" spans="1:50" x14ac:dyDescent="0.3">
      <c r="A2" s="4" t="s">
        <v>0</v>
      </c>
      <c r="B2" s="17"/>
      <c r="C2" s="78"/>
      <c r="D2" s="18"/>
      <c r="E2" s="18"/>
      <c r="F2" s="18"/>
      <c r="G2" s="18"/>
      <c r="H2" s="18"/>
      <c r="I2" s="18"/>
      <c r="J2" s="18"/>
      <c r="K2" s="68"/>
      <c r="L2" s="19"/>
      <c r="M2" s="15"/>
    </row>
    <row r="3" spans="1:50" x14ac:dyDescent="0.3">
      <c r="A3" s="20"/>
      <c r="B3" s="17"/>
      <c r="C3" s="78"/>
      <c r="D3" s="18"/>
      <c r="E3" s="18"/>
      <c r="F3" s="18"/>
      <c r="G3" s="18"/>
      <c r="H3" s="18"/>
      <c r="I3" s="18"/>
      <c r="J3" s="18"/>
      <c r="K3" s="68"/>
      <c r="L3" s="19"/>
      <c r="M3" s="15"/>
    </row>
    <row r="4" spans="1:50" x14ac:dyDescent="0.3">
      <c r="A4" s="20"/>
      <c r="B4" s="17"/>
      <c r="C4" s="78"/>
      <c r="D4" s="18"/>
      <c r="E4" s="18"/>
      <c r="F4" s="18"/>
      <c r="G4" s="6"/>
      <c r="H4" s="18"/>
      <c r="I4" s="18"/>
      <c r="J4" s="18"/>
      <c r="K4" s="68"/>
      <c r="L4" s="19"/>
      <c r="M4" s="15"/>
      <c r="V4" s="1"/>
    </row>
    <row r="5" spans="1:50" x14ac:dyDescent="0.3">
      <c r="A5" s="20"/>
      <c r="B5" s="17"/>
      <c r="C5" s="78"/>
      <c r="D5" s="18"/>
      <c r="E5" s="18"/>
      <c r="F5" s="18"/>
      <c r="G5" s="18"/>
      <c r="H5" s="18"/>
      <c r="I5" s="18"/>
      <c r="J5" s="18"/>
      <c r="K5" s="68"/>
      <c r="L5" s="19"/>
      <c r="M5" s="15"/>
    </row>
    <row r="6" spans="1:50" x14ac:dyDescent="0.3">
      <c r="A6" s="13"/>
      <c r="B6" s="13"/>
      <c r="C6" s="79"/>
      <c r="D6" s="14"/>
      <c r="E6" s="14"/>
      <c r="F6" s="14"/>
      <c r="G6" s="14"/>
      <c r="H6" s="14"/>
      <c r="I6" s="14"/>
      <c r="J6" s="14"/>
      <c r="K6" s="67"/>
      <c r="L6" s="19"/>
      <c r="M6" s="15"/>
    </row>
    <row r="7" spans="1:50" x14ac:dyDescent="0.3">
      <c r="A7" s="2" t="s">
        <v>1</v>
      </c>
      <c r="B7" s="77"/>
      <c r="C7" s="80"/>
      <c r="L7" s="19"/>
      <c r="M7" s="15"/>
    </row>
    <row r="8" spans="1:50" ht="14.4" customHeight="1" x14ac:dyDescent="0.3">
      <c r="A8" s="20"/>
      <c r="B8" s="17"/>
      <c r="C8" s="80"/>
      <c r="L8" s="19"/>
      <c r="M8" s="15"/>
    </row>
    <row r="9" spans="1:50" ht="14.4" customHeight="1" x14ac:dyDescent="0.3">
      <c r="A9" s="155" t="s">
        <v>59</v>
      </c>
      <c r="B9" s="17"/>
      <c r="C9" s="81" t="s">
        <v>58</v>
      </c>
      <c r="D9" s="7"/>
      <c r="E9" s="7"/>
      <c r="F9" s="7"/>
      <c r="L9" s="19"/>
      <c r="M9" s="15"/>
      <c r="AQ9" s="21"/>
      <c r="AR9" s="21"/>
      <c r="AS9" s="21"/>
      <c r="AT9" s="21"/>
      <c r="AU9" s="21"/>
      <c r="AV9" s="21"/>
      <c r="AW9" s="21"/>
      <c r="AX9" s="21"/>
    </row>
    <row r="10" spans="1:50" ht="14.4" customHeight="1" x14ac:dyDescent="0.3">
      <c r="A10" s="20"/>
      <c r="B10" s="17"/>
      <c r="C10" s="80" t="s">
        <v>19</v>
      </c>
      <c r="F10" s="22">
        <v>1316</v>
      </c>
      <c r="G10" s="55" t="s">
        <v>86</v>
      </c>
      <c r="H10" t="s">
        <v>84</v>
      </c>
      <c r="L10" s="19"/>
      <c r="M10" s="15"/>
      <c r="AQ10" s="21"/>
      <c r="AR10" s="21"/>
      <c r="AS10" s="21"/>
      <c r="AT10" s="21"/>
      <c r="AU10" s="21"/>
      <c r="AV10" s="21"/>
      <c r="AW10" s="21"/>
      <c r="AX10" s="21"/>
    </row>
    <row r="11" spans="1:50" ht="14.4" customHeight="1" x14ac:dyDescent="0.3">
      <c r="A11" s="20"/>
      <c r="B11" s="17"/>
      <c r="C11" s="80" t="s">
        <v>21</v>
      </c>
      <c r="F11" s="54">
        <v>19</v>
      </c>
      <c r="H11" t="s">
        <v>84</v>
      </c>
      <c r="L11" s="19"/>
      <c r="M11" s="15"/>
      <c r="AQ11" s="21"/>
      <c r="AR11" s="21"/>
      <c r="AS11" s="21"/>
      <c r="AT11" s="21"/>
      <c r="AU11" s="21"/>
      <c r="AV11" s="21"/>
      <c r="AW11" s="21"/>
      <c r="AX11" s="21"/>
    </row>
    <row r="12" spans="1:50" ht="14.4" customHeight="1" x14ac:dyDescent="0.3">
      <c r="A12" s="20"/>
      <c r="B12" s="17"/>
      <c r="C12" s="82" t="s">
        <v>22</v>
      </c>
      <c r="D12" s="1"/>
      <c r="E12" s="1"/>
      <c r="F12" s="23">
        <f>F10*F11</f>
        <v>25004</v>
      </c>
      <c r="L12" s="19"/>
      <c r="M12" s="15"/>
      <c r="AQ12" s="21"/>
      <c r="AR12" s="21"/>
      <c r="AS12" s="21"/>
      <c r="AT12" s="21"/>
      <c r="AU12" s="21"/>
      <c r="AV12" s="21"/>
      <c r="AW12" s="21"/>
      <c r="AX12" s="21"/>
    </row>
    <row r="13" spans="1:50" ht="14.4" customHeight="1" x14ac:dyDescent="0.3">
      <c r="A13" s="20"/>
      <c r="B13" s="17"/>
      <c r="C13" s="80" t="s">
        <v>8</v>
      </c>
      <c r="F13" s="23">
        <v>5100</v>
      </c>
      <c r="L13" s="19"/>
      <c r="M13" s="15"/>
      <c r="AQ13" s="21"/>
      <c r="AR13" s="21"/>
      <c r="AS13" s="21"/>
      <c r="AT13" s="21"/>
      <c r="AU13" s="21"/>
      <c r="AV13" s="21"/>
      <c r="AW13" s="21"/>
      <c r="AX13" s="21"/>
    </row>
    <row r="14" spans="1:50" ht="14.4" customHeight="1" x14ac:dyDescent="0.3">
      <c r="A14" s="20"/>
      <c r="B14" s="17"/>
      <c r="C14" s="82" t="s">
        <v>20</v>
      </c>
      <c r="D14" s="1"/>
      <c r="E14" s="1"/>
      <c r="F14" s="25">
        <f>27.5*724</f>
        <v>19910</v>
      </c>
      <c r="G14" s="55" t="s">
        <v>85</v>
      </c>
      <c r="H14" t="s">
        <v>84</v>
      </c>
      <c r="L14" s="19"/>
      <c r="M14" s="15"/>
      <c r="R14" s="26"/>
      <c r="AQ14" s="21"/>
      <c r="AR14" s="21"/>
      <c r="AS14" s="21"/>
      <c r="AT14" s="21"/>
      <c r="AU14" s="21"/>
      <c r="AV14" s="21"/>
      <c r="AW14" s="21"/>
      <c r="AX14" s="21"/>
    </row>
    <row r="15" spans="1:50" ht="14.4" customHeight="1" x14ac:dyDescent="0.3">
      <c r="A15" s="20"/>
      <c r="B15" s="17"/>
      <c r="C15" s="80"/>
      <c r="F15" s="27"/>
      <c r="L15" s="19"/>
      <c r="M15" s="15"/>
      <c r="AQ15" s="21"/>
      <c r="AR15" s="21"/>
      <c r="AS15" s="21"/>
      <c r="AT15" s="21"/>
      <c r="AU15" s="21"/>
      <c r="AV15" s="21"/>
      <c r="AW15" s="21"/>
      <c r="AX15" s="21"/>
    </row>
    <row r="16" spans="1:50" ht="14.4" customHeight="1" x14ac:dyDescent="0.3">
      <c r="A16" s="20"/>
      <c r="B16" s="17"/>
      <c r="C16" s="80" t="s">
        <v>14</v>
      </c>
      <c r="F16" s="24">
        <v>450</v>
      </c>
      <c r="L16" s="19"/>
      <c r="M16" s="15"/>
      <c r="AQ16" s="21"/>
      <c r="AR16" s="21"/>
      <c r="AS16" s="21"/>
      <c r="AT16" s="21"/>
      <c r="AU16" s="21"/>
      <c r="AV16" s="21"/>
      <c r="AW16" s="21"/>
      <c r="AX16" s="21"/>
    </row>
    <row r="17" spans="1:50" ht="14.4" customHeight="1" x14ac:dyDescent="0.3">
      <c r="A17" s="20"/>
      <c r="B17" s="17"/>
      <c r="C17" s="80"/>
      <c r="F17" s="28"/>
      <c r="L17" s="19"/>
      <c r="M17" s="15"/>
      <c r="AQ17" s="21"/>
      <c r="AR17" s="21"/>
      <c r="AS17" s="21"/>
      <c r="AT17" s="21"/>
      <c r="AU17" s="21"/>
      <c r="AV17" s="21"/>
      <c r="AW17" s="21"/>
      <c r="AX17" s="21"/>
    </row>
    <row r="18" spans="1:50" ht="14.4" customHeight="1" x14ac:dyDescent="0.3">
      <c r="A18" s="20"/>
      <c r="B18" s="17"/>
      <c r="C18" s="81" t="s">
        <v>60</v>
      </c>
      <c r="D18" s="7"/>
      <c r="E18" s="7"/>
      <c r="F18" s="7"/>
      <c r="L18" s="19"/>
      <c r="M18" s="15"/>
      <c r="AQ18" s="21"/>
      <c r="AR18" s="21"/>
      <c r="AS18" s="21"/>
      <c r="AT18" s="21"/>
      <c r="AU18" s="21"/>
      <c r="AV18" s="21"/>
      <c r="AW18" s="21"/>
      <c r="AX18" s="21"/>
    </row>
    <row r="19" spans="1:50" ht="14.4" customHeight="1" x14ac:dyDescent="0.3">
      <c r="A19" s="20"/>
      <c r="B19" s="17"/>
      <c r="C19" s="80" t="s">
        <v>21</v>
      </c>
      <c r="F19" s="54">
        <v>16.5</v>
      </c>
      <c r="L19" s="19"/>
      <c r="M19" s="15"/>
      <c r="AQ19" s="21"/>
      <c r="AR19" s="21"/>
      <c r="AS19" s="21"/>
      <c r="AT19" s="21"/>
      <c r="AU19" s="21"/>
      <c r="AV19" s="21"/>
      <c r="AW19" s="21"/>
      <c r="AX19" s="21"/>
    </row>
    <row r="20" spans="1:50" ht="14.4" customHeight="1" x14ac:dyDescent="0.3">
      <c r="A20" s="20"/>
      <c r="B20" s="17"/>
      <c r="C20" s="80"/>
      <c r="L20" s="19"/>
      <c r="M20" s="15"/>
      <c r="AQ20" s="21"/>
      <c r="AR20" s="21"/>
      <c r="AS20" s="21"/>
      <c r="AT20" s="21"/>
      <c r="AU20" s="21"/>
      <c r="AV20" s="21"/>
      <c r="AW20" s="21"/>
      <c r="AX20" s="21"/>
    </row>
    <row r="21" spans="1:50" ht="14.4" customHeight="1" x14ac:dyDescent="0.3">
      <c r="A21" s="20"/>
      <c r="B21" s="17"/>
      <c r="C21" s="81" t="s">
        <v>23</v>
      </c>
      <c r="D21" s="7"/>
      <c r="E21" s="7"/>
      <c r="F21" s="8"/>
      <c r="L21" s="19"/>
      <c r="M21" s="15"/>
      <c r="AQ21" s="21"/>
      <c r="AR21" s="21"/>
      <c r="AS21" s="21"/>
      <c r="AT21" s="21"/>
      <c r="AU21" s="21"/>
      <c r="AV21" s="21"/>
      <c r="AW21" s="21"/>
      <c r="AX21" s="21"/>
    </row>
    <row r="22" spans="1:50" ht="14.4" customHeight="1" x14ac:dyDescent="0.3">
      <c r="A22" s="20"/>
      <c r="B22" s="17"/>
      <c r="C22" s="96" t="s">
        <v>7</v>
      </c>
      <c r="D22" s="98"/>
      <c r="E22" s="98"/>
      <c r="F22" s="122"/>
      <c r="L22" s="19"/>
      <c r="M22" s="15"/>
      <c r="AQ22" s="21"/>
      <c r="AR22" s="21"/>
      <c r="AS22" s="21"/>
      <c r="AT22" s="21"/>
      <c r="AU22" s="21"/>
      <c r="AV22" s="21"/>
      <c r="AW22" s="21"/>
      <c r="AX22" s="21"/>
    </row>
    <row r="23" spans="1:50" ht="14.4" customHeight="1" x14ac:dyDescent="0.3">
      <c r="A23" s="20"/>
      <c r="B23" s="17"/>
      <c r="C23" s="80" t="s">
        <v>9</v>
      </c>
      <c r="F23" s="129">
        <v>7111</v>
      </c>
      <c r="L23" s="19"/>
      <c r="M23" s="15"/>
      <c r="AQ23" s="21"/>
      <c r="AR23" s="21"/>
      <c r="AS23" s="21"/>
      <c r="AT23" s="21"/>
      <c r="AU23" s="21"/>
      <c r="AV23" s="21"/>
      <c r="AW23" s="21"/>
      <c r="AX23" s="21"/>
    </row>
    <row r="24" spans="1:50" ht="14.4" customHeight="1" x14ac:dyDescent="0.3">
      <c r="A24" s="20"/>
      <c r="B24" s="17"/>
      <c r="C24" s="80" t="s">
        <v>11</v>
      </c>
      <c r="F24" s="23">
        <v>1316</v>
      </c>
      <c r="L24" s="19"/>
      <c r="M24" s="15"/>
      <c r="AQ24" s="21"/>
      <c r="AR24" s="21"/>
      <c r="AS24" s="21"/>
      <c r="AT24" s="21"/>
      <c r="AU24" s="21"/>
      <c r="AV24" s="21"/>
      <c r="AW24" s="21"/>
      <c r="AX24" s="21"/>
    </row>
    <row r="25" spans="1:50" ht="14.4" customHeight="1" x14ac:dyDescent="0.3">
      <c r="A25" s="20"/>
      <c r="B25" s="17"/>
      <c r="C25" s="80" t="s">
        <v>13</v>
      </c>
      <c r="F25" s="23">
        <v>580</v>
      </c>
      <c r="L25" s="19"/>
      <c r="M25" s="15"/>
      <c r="AQ25" s="21"/>
      <c r="AR25" s="21"/>
      <c r="AS25" s="21"/>
      <c r="AT25" s="21"/>
      <c r="AU25" s="21"/>
      <c r="AV25" s="21"/>
      <c r="AW25" s="21"/>
      <c r="AX25" s="21"/>
    </row>
    <row r="26" spans="1:50" ht="14.4" customHeight="1" x14ac:dyDescent="0.3">
      <c r="A26" s="20"/>
      <c r="B26" s="17"/>
      <c r="C26" s="80" t="s">
        <v>16</v>
      </c>
      <c r="F26" s="23">
        <v>180</v>
      </c>
      <c r="L26" s="19"/>
      <c r="M26" s="15"/>
      <c r="AQ26" s="21"/>
      <c r="AR26" s="21"/>
      <c r="AS26" s="21"/>
      <c r="AT26" s="21"/>
      <c r="AU26" s="21"/>
      <c r="AV26" s="21"/>
      <c r="AW26" s="21"/>
      <c r="AX26" s="21"/>
    </row>
    <row r="27" spans="1:50" ht="14.4" customHeight="1" x14ac:dyDescent="0.3">
      <c r="A27" s="20"/>
      <c r="B27" s="17"/>
      <c r="C27" s="80" t="s">
        <v>18</v>
      </c>
      <c r="F27" s="131">
        <v>-450</v>
      </c>
      <c r="L27" s="19"/>
      <c r="M27" s="15"/>
      <c r="AQ27" s="21"/>
      <c r="AR27" s="21"/>
      <c r="AS27" s="21"/>
      <c r="AT27" s="21"/>
      <c r="AU27" s="21"/>
      <c r="AV27" s="21"/>
      <c r="AW27" s="21"/>
      <c r="AX27" s="21"/>
    </row>
    <row r="28" spans="1:50" ht="14.4" customHeight="1" x14ac:dyDescent="0.3">
      <c r="A28" s="20"/>
      <c r="B28" s="17"/>
      <c r="C28" s="100" t="s">
        <v>10</v>
      </c>
      <c r="D28" s="101"/>
      <c r="E28" s="101"/>
      <c r="F28" s="132"/>
      <c r="L28" s="19"/>
      <c r="M28" s="15"/>
      <c r="AQ28" s="21"/>
      <c r="AR28" s="21"/>
      <c r="AS28" s="21"/>
      <c r="AT28" s="21"/>
      <c r="AU28" s="21"/>
      <c r="AV28" s="21"/>
      <c r="AW28" s="21"/>
      <c r="AX28" s="21"/>
    </row>
    <row r="29" spans="1:50" ht="14.4" customHeight="1" x14ac:dyDescent="0.3">
      <c r="A29" s="20"/>
      <c r="B29" s="17"/>
      <c r="C29" s="80" t="s">
        <v>12</v>
      </c>
      <c r="F29" s="130">
        <v>5.5E-2</v>
      </c>
      <c r="L29" s="19"/>
      <c r="M29" s="15"/>
      <c r="AQ29" s="21"/>
      <c r="AR29" s="21"/>
      <c r="AS29" s="21"/>
      <c r="AT29" s="21"/>
      <c r="AU29" s="21"/>
      <c r="AV29" s="21"/>
      <c r="AW29" s="21"/>
      <c r="AX29" s="21"/>
    </row>
    <row r="30" spans="1:50" ht="14.4" customHeight="1" x14ac:dyDescent="0.3">
      <c r="A30" s="20"/>
      <c r="B30" s="17"/>
      <c r="C30" s="80" t="s">
        <v>15</v>
      </c>
      <c r="F30" s="29">
        <v>8.0000000000000002E-3</v>
      </c>
      <c r="L30" s="19"/>
      <c r="M30" s="15"/>
      <c r="AQ30" s="21"/>
      <c r="AR30" s="21"/>
      <c r="AS30" s="21"/>
      <c r="AT30" s="21"/>
      <c r="AU30" s="21"/>
      <c r="AV30" s="21"/>
      <c r="AW30" s="21"/>
      <c r="AX30" s="21"/>
    </row>
    <row r="31" spans="1:50" ht="14.4" customHeight="1" x14ac:dyDescent="0.3">
      <c r="A31" s="20"/>
      <c r="B31" s="17"/>
      <c r="C31" s="80" t="s">
        <v>17</v>
      </c>
      <c r="F31" s="29">
        <v>0.25</v>
      </c>
      <c r="L31" s="19"/>
      <c r="M31" s="15"/>
      <c r="AQ31" s="21"/>
      <c r="AR31" s="21"/>
      <c r="AS31" s="21"/>
      <c r="AT31" s="21"/>
      <c r="AU31" s="21"/>
      <c r="AV31" s="21"/>
      <c r="AW31" s="21"/>
      <c r="AX31" s="21"/>
    </row>
    <row r="32" spans="1:50" ht="14.4" customHeight="1" x14ac:dyDescent="0.3">
      <c r="A32" s="20"/>
      <c r="B32" s="17"/>
      <c r="C32" s="80"/>
      <c r="L32" s="19"/>
      <c r="M32" s="15"/>
      <c r="AQ32" s="21"/>
      <c r="AR32" s="21"/>
      <c r="AS32" s="21"/>
      <c r="AT32" s="21"/>
      <c r="AU32" s="21"/>
      <c r="AV32" s="21"/>
      <c r="AW32" s="21"/>
      <c r="AX32" s="21"/>
    </row>
    <row r="33" spans="1:98" ht="14.4" customHeight="1" x14ac:dyDescent="0.3">
      <c r="A33" s="20"/>
      <c r="B33" s="17"/>
      <c r="C33" s="81" t="s">
        <v>2</v>
      </c>
      <c r="D33" s="7"/>
      <c r="E33" s="8" t="s">
        <v>3</v>
      </c>
      <c r="F33" s="8" t="s">
        <v>4</v>
      </c>
      <c r="L33" s="19"/>
      <c r="M33" s="15"/>
      <c r="AQ33" s="21"/>
      <c r="AR33" s="21"/>
      <c r="AS33" s="21"/>
      <c r="AT33" s="21"/>
      <c r="AU33" s="21"/>
      <c r="AV33" s="21"/>
      <c r="AW33" s="21"/>
      <c r="AX33" s="21"/>
    </row>
    <row r="34" spans="1:98" ht="14.4" customHeight="1" x14ac:dyDescent="0.3">
      <c r="A34" s="20"/>
      <c r="B34" s="17"/>
      <c r="C34" s="80" t="s">
        <v>5</v>
      </c>
      <c r="E34" s="30">
        <v>3.5</v>
      </c>
      <c r="F34" s="29">
        <v>7.4999999999999997E-2</v>
      </c>
      <c r="L34" s="19"/>
      <c r="M34" s="15"/>
      <c r="AQ34" s="21"/>
      <c r="AR34" s="21"/>
      <c r="AS34" s="21"/>
      <c r="AT34" s="21"/>
      <c r="AU34" s="21"/>
      <c r="AV34" s="21"/>
      <c r="AW34" s="21"/>
      <c r="AX34" s="21"/>
    </row>
    <row r="35" spans="1:98" ht="14.4" customHeight="1" x14ac:dyDescent="0.3">
      <c r="A35" s="20"/>
      <c r="B35" s="17"/>
      <c r="C35" s="80" t="s">
        <v>33</v>
      </c>
      <c r="E35" s="30">
        <v>2.5</v>
      </c>
      <c r="F35" s="29">
        <v>6.7500000000000004E-2</v>
      </c>
      <c r="L35" s="19"/>
      <c r="M35" s="15"/>
      <c r="AQ35" s="21"/>
      <c r="AR35" s="21"/>
      <c r="AS35" s="21"/>
      <c r="AT35" s="21"/>
      <c r="AU35" s="21"/>
      <c r="AV35" s="21"/>
      <c r="AW35" s="21"/>
      <c r="AX35" s="21"/>
    </row>
    <row r="36" spans="1:98" ht="14.4" customHeight="1" x14ac:dyDescent="0.3">
      <c r="A36" s="20"/>
      <c r="B36" s="17"/>
      <c r="C36" s="80"/>
      <c r="L36" s="19"/>
      <c r="M36" s="15"/>
      <c r="AQ36" s="21"/>
      <c r="AR36" s="21"/>
      <c r="AS36" s="21"/>
      <c r="AT36" s="21"/>
      <c r="AU36" s="21"/>
      <c r="AV36" s="21"/>
      <c r="AW36" s="21"/>
      <c r="AX36" s="21"/>
    </row>
    <row r="37" spans="1:98" ht="14.4" customHeight="1" x14ac:dyDescent="0.3">
      <c r="A37" s="20"/>
      <c r="B37" s="17"/>
      <c r="C37" s="81" t="s">
        <v>52</v>
      </c>
      <c r="D37" s="7"/>
      <c r="E37" s="8"/>
      <c r="F37" s="8"/>
      <c r="L37" s="19"/>
      <c r="M37" s="15"/>
      <c r="AQ37" s="21"/>
      <c r="AR37" s="21"/>
      <c r="AS37" s="21"/>
      <c r="AT37" s="21"/>
      <c r="AU37" s="21"/>
      <c r="AV37" s="21"/>
      <c r="AW37" s="21"/>
      <c r="AX37" s="21"/>
    </row>
    <row r="38" spans="1:98" ht="14.4" customHeight="1" x14ac:dyDescent="0.3">
      <c r="A38" s="20"/>
      <c r="B38" s="17"/>
      <c r="C38" s="80" t="s">
        <v>47</v>
      </c>
      <c r="F38" s="31">
        <v>0.185</v>
      </c>
      <c r="L38" s="19"/>
      <c r="M38" s="15"/>
      <c r="AQ38" s="21"/>
      <c r="AR38" s="21"/>
      <c r="AS38" s="21"/>
      <c r="AT38" s="21"/>
      <c r="AU38" s="21"/>
      <c r="AV38" s="21"/>
      <c r="AW38" s="21"/>
      <c r="AX38" s="21"/>
    </row>
    <row r="39" spans="1:98" ht="14.4" customHeight="1" x14ac:dyDescent="0.3">
      <c r="A39" s="20"/>
      <c r="B39" s="17"/>
      <c r="C39" s="80" t="s">
        <v>50</v>
      </c>
      <c r="F39" s="56">
        <v>2.4</v>
      </c>
      <c r="K39" s="69"/>
      <c r="L39" s="19"/>
      <c r="M39" s="15"/>
      <c r="AQ39" s="21"/>
      <c r="AR39" s="21"/>
      <c r="AS39" s="21"/>
      <c r="AT39" s="21"/>
      <c r="AU39" s="21"/>
      <c r="AV39" s="21"/>
      <c r="AW39" s="21"/>
      <c r="AX39" s="21"/>
    </row>
    <row r="40" spans="1:98" ht="14.4" customHeight="1" x14ac:dyDescent="0.3">
      <c r="A40" s="20"/>
      <c r="B40" s="17"/>
      <c r="C40" s="80"/>
      <c r="K40" s="69"/>
      <c r="L40" s="19"/>
      <c r="M40" s="15"/>
      <c r="AQ40" s="21"/>
      <c r="AR40" s="21"/>
      <c r="AS40" s="21"/>
      <c r="AT40" s="21"/>
      <c r="AU40" s="21"/>
      <c r="AV40" s="21"/>
      <c r="AW40" s="21"/>
      <c r="AX40" s="21"/>
    </row>
    <row r="41" spans="1:98" ht="14.4" customHeight="1" x14ac:dyDescent="0.3">
      <c r="A41" s="20"/>
      <c r="B41" s="17"/>
      <c r="C41" s="80"/>
      <c r="K41" s="69"/>
      <c r="L41" s="19"/>
      <c r="M41" s="15"/>
      <c r="AQ41" s="21"/>
      <c r="AR41" s="21"/>
      <c r="AS41" s="21"/>
      <c r="AT41" s="21"/>
      <c r="AU41" s="21"/>
      <c r="AV41" s="21"/>
      <c r="AW41" s="21"/>
      <c r="AX41" s="21"/>
    </row>
    <row r="42" spans="1:98" ht="14.4" customHeight="1" x14ac:dyDescent="0.3">
      <c r="A42" s="14"/>
      <c r="B42" s="14"/>
      <c r="C42" s="79"/>
      <c r="D42" s="14"/>
      <c r="E42" s="14"/>
      <c r="F42" s="14"/>
      <c r="G42" s="14"/>
      <c r="H42" s="14"/>
      <c r="I42" s="14"/>
      <c r="J42" s="14"/>
      <c r="K42" s="67"/>
      <c r="L42" s="19"/>
      <c r="M42" s="15"/>
      <c r="AQ42" s="21"/>
      <c r="AR42" s="21"/>
      <c r="AS42" s="21"/>
      <c r="AT42" s="21"/>
      <c r="AU42" s="21"/>
      <c r="AV42" s="21"/>
      <c r="AW42" s="21"/>
      <c r="AX42" s="21"/>
    </row>
    <row r="43" spans="1:98" ht="14.4" customHeight="1" x14ac:dyDescent="0.3">
      <c r="A43" s="2" t="s">
        <v>24</v>
      </c>
      <c r="B43" s="77"/>
      <c r="C43" s="80"/>
      <c r="K43" s="69"/>
      <c r="L43" s="19"/>
      <c r="M43" s="15"/>
      <c r="AQ43" s="21"/>
      <c r="AR43" s="21"/>
      <c r="AS43" s="21"/>
      <c r="AT43" s="21"/>
      <c r="AU43" s="21"/>
      <c r="AV43" s="21"/>
      <c r="AW43" s="21"/>
      <c r="AX43" s="21"/>
    </row>
    <row r="44" spans="1:98" s="32" customFormat="1" ht="14.4" customHeight="1" x14ac:dyDescent="0.3">
      <c r="A44" s="20"/>
      <c r="B44" s="17"/>
      <c r="C44" s="80"/>
      <c r="D44"/>
      <c r="E44"/>
      <c r="F44"/>
      <c r="G44"/>
      <c r="H44"/>
      <c r="I44"/>
      <c r="J44"/>
      <c r="K44" s="69"/>
      <c r="L44" s="19"/>
      <c r="M44" s="15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</row>
    <row r="45" spans="1:98" ht="14.4" customHeight="1" x14ac:dyDescent="0.3">
      <c r="A45" s="20"/>
      <c r="B45" s="17"/>
      <c r="C45" s="81" t="s">
        <v>25</v>
      </c>
      <c r="D45" s="7"/>
      <c r="E45" s="7"/>
      <c r="F45" s="7"/>
      <c r="G45" s="7"/>
      <c r="H45" s="7"/>
      <c r="K45" s="69"/>
      <c r="L45" s="19"/>
      <c r="M45" s="15"/>
      <c r="AQ45" s="21"/>
      <c r="AR45" s="21"/>
      <c r="AS45" s="21"/>
      <c r="AT45" s="21"/>
      <c r="AU45" s="21"/>
      <c r="AV45" s="21"/>
      <c r="AW45" s="21"/>
      <c r="AX45" s="21"/>
    </row>
    <row r="46" spans="1:98" ht="14.4" customHeight="1" x14ac:dyDescent="0.3">
      <c r="A46" s="20"/>
      <c r="B46" s="17"/>
      <c r="C46" s="80"/>
      <c r="F46" s="142" t="s">
        <v>3</v>
      </c>
      <c r="G46" s="142" t="s">
        <v>27</v>
      </c>
      <c r="H46" s="142" t="s">
        <v>28</v>
      </c>
      <c r="K46" s="69"/>
      <c r="L46" s="19"/>
      <c r="M46" s="15"/>
      <c r="AQ46" s="21"/>
      <c r="AR46" s="21"/>
      <c r="AS46" s="21"/>
      <c r="AT46" s="21"/>
      <c r="AU46" s="21"/>
      <c r="AV46" s="21"/>
      <c r="AW46" s="21"/>
      <c r="AX46" s="21"/>
    </row>
    <row r="47" spans="1:98" ht="14.4" customHeight="1" x14ac:dyDescent="0.3">
      <c r="A47" s="20"/>
      <c r="B47" s="17"/>
      <c r="C47" s="136" t="s">
        <v>5</v>
      </c>
      <c r="D47" s="137"/>
      <c r="E47" s="137"/>
      <c r="F47" s="138">
        <v>4610</v>
      </c>
      <c r="G47" s="139">
        <v>3.5</v>
      </c>
      <c r="H47" s="140">
        <f>F47/F55</f>
        <v>0.18111102380765301</v>
      </c>
      <c r="K47" s="69"/>
      <c r="L47" s="19"/>
      <c r="M47" s="15"/>
      <c r="AQ47" s="21"/>
      <c r="AR47" s="21"/>
      <c r="AS47" s="21"/>
      <c r="AT47" s="21"/>
      <c r="AU47" s="21"/>
      <c r="AV47" s="21"/>
      <c r="AW47" s="21"/>
      <c r="AX47" s="21"/>
    </row>
    <row r="48" spans="1:98" ht="14.4" customHeight="1" x14ac:dyDescent="0.3">
      <c r="A48" s="20"/>
      <c r="B48" s="17"/>
      <c r="C48" s="80" t="s">
        <v>33</v>
      </c>
      <c r="D48" s="28"/>
      <c r="E48" s="28"/>
      <c r="F48" s="33">
        <v>3290</v>
      </c>
      <c r="G48" s="56">
        <v>2.5</v>
      </c>
      <c r="H48" s="31">
        <f>F48/$F$55</f>
        <v>0.12925276970220789</v>
      </c>
      <c r="K48" s="69"/>
      <c r="L48" s="19"/>
      <c r="M48" s="15"/>
    </row>
    <row r="49" spans="1:30" ht="14.4" customHeight="1" x14ac:dyDescent="0.3">
      <c r="A49" s="20"/>
      <c r="B49" s="17"/>
      <c r="C49" s="127" t="s">
        <v>29</v>
      </c>
      <c r="D49" s="97"/>
      <c r="E49" s="97"/>
      <c r="F49" s="133">
        <f>SUM(F47:F48)</f>
        <v>7900</v>
      </c>
      <c r="G49" s="141">
        <f>SUM(G47:G48)</f>
        <v>6</v>
      </c>
      <c r="H49" s="135">
        <f>SUM(H47:H48)</f>
        <v>0.31036379350986087</v>
      </c>
      <c r="K49" s="69"/>
      <c r="L49" s="19"/>
      <c r="M49" s="15"/>
    </row>
    <row r="50" spans="1:30" ht="14.4" customHeight="1" x14ac:dyDescent="0.3">
      <c r="A50" s="20"/>
      <c r="B50" s="17"/>
      <c r="C50" s="80"/>
      <c r="F50" s="33"/>
      <c r="K50" s="69"/>
      <c r="L50" s="19"/>
      <c r="M50" s="15"/>
    </row>
    <row r="51" spans="1:30" ht="14.4" customHeight="1" x14ac:dyDescent="0.3">
      <c r="A51" s="20"/>
      <c r="B51" s="17"/>
      <c r="C51" s="136" t="s">
        <v>63</v>
      </c>
      <c r="D51" s="137"/>
      <c r="E51" s="137"/>
      <c r="F51" s="138">
        <v>4500</v>
      </c>
      <c r="G51" s="139">
        <v>3.42</v>
      </c>
      <c r="H51" s="140">
        <f>F51/$F$55</f>
        <v>0.17678950263219925</v>
      </c>
      <c r="K51" s="69"/>
      <c r="L51" s="19"/>
      <c r="M51" s="15"/>
      <c r="X51" s="21"/>
      <c r="Y51" s="21"/>
      <c r="Z51" s="21"/>
      <c r="AA51" s="21"/>
      <c r="AB51" s="21"/>
    </row>
    <row r="52" spans="1:30" ht="14.4" customHeight="1" x14ac:dyDescent="0.3">
      <c r="A52" s="20"/>
      <c r="B52" s="17"/>
      <c r="C52" s="80" t="s">
        <v>62</v>
      </c>
      <c r="F52" s="33">
        <v>13054</v>
      </c>
      <c r="G52" s="56">
        <v>9.92</v>
      </c>
      <c r="H52" s="31">
        <f>F52/$F$55</f>
        <v>0.51284670385793985</v>
      </c>
      <c r="K52" s="69"/>
      <c r="L52" s="19"/>
      <c r="M52" s="15"/>
      <c r="X52" s="21"/>
      <c r="Y52" s="21"/>
      <c r="Z52" s="21"/>
      <c r="AA52" s="21"/>
      <c r="AB52" s="21"/>
    </row>
    <row r="53" spans="1:30" ht="14.4" customHeight="1" x14ac:dyDescent="0.3">
      <c r="A53" s="20"/>
      <c r="B53" s="17"/>
      <c r="C53" s="127" t="s">
        <v>66</v>
      </c>
      <c r="D53" s="98"/>
      <c r="E53" s="98"/>
      <c r="F53" s="133">
        <f>SUM(F51:F52)</f>
        <v>17554</v>
      </c>
      <c r="G53" s="134">
        <f>SUM(G51:G52)</f>
        <v>13.34</v>
      </c>
      <c r="H53" s="135">
        <f>SUM(H51:H52)</f>
        <v>0.68963620649013913</v>
      </c>
      <c r="K53" s="69"/>
      <c r="L53" s="19"/>
      <c r="M53" s="15"/>
      <c r="X53" s="21"/>
      <c r="Y53" s="21"/>
      <c r="Z53" s="21"/>
      <c r="AA53" s="21"/>
      <c r="AB53" s="21"/>
    </row>
    <row r="54" spans="1:30" ht="14.4" customHeight="1" x14ac:dyDescent="0.3">
      <c r="A54" s="20"/>
      <c r="B54" s="17"/>
      <c r="C54" s="80"/>
      <c r="F54" s="33"/>
      <c r="G54" s="35"/>
      <c r="H54" s="31"/>
      <c r="K54" s="69"/>
      <c r="L54" s="19"/>
      <c r="M54" s="15"/>
      <c r="X54" s="21"/>
      <c r="Y54" s="21"/>
      <c r="Z54" s="21"/>
      <c r="AA54" s="21"/>
      <c r="AB54" s="21"/>
    </row>
    <row r="55" spans="1:30" ht="14.4" customHeight="1" x14ac:dyDescent="0.3">
      <c r="A55" s="20"/>
      <c r="B55" s="17"/>
      <c r="C55" s="92" t="s">
        <v>31</v>
      </c>
      <c r="D55" s="93"/>
      <c r="E55" s="93"/>
      <c r="F55" s="10">
        <f>SUM(F49,F53)</f>
        <v>25454</v>
      </c>
      <c r="G55" s="58">
        <f>SUM(G49,G53)</f>
        <v>19.34</v>
      </c>
      <c r="H55" s="11">
        <f>SUM(H53,H49)</f>
        <v>1</v>
      </c>
      <c r="L55" s="19"/>
      <c r="M55" s="15"/>
      <c r="X55" s="21"/>
      <c r="Y55" s="21"/>
      <c r="Z55" s="21"/>
      <c r="AA55" s="21"/>
      <c r="AB55" s="21"/>
    </row>
    <row r="56" spans="1:30" ht="14.4" customHeight="1" x14ac:dyDescent="0.3">
      <c r="A56" s="20"/>
      <c r="B56" s="17"/>
      <c r="C56" s="83"/>
      <c r="F56" s="33"/>
      <c r="L56" s="19"/>
      <c r="M56" s="15"/>
      <c r="X56" s="21"/>
      <c r="Y56" s="21"/>
      <c r="Z56" s="21"/>
      <c r="AA56" s="21"/>
      <c r="AB56" s="21"/>
    </row>
    <row r="57" spans="1:30" ht="14.4" customHeight="1" x14ac:dyDescent="0.3">
      <c r="A57" s="20"/>
      <c r="B57" s="17"/>
      <c r="C57" s="81" t="s">
        <v>26</v>
      </c>
      <c r="D57" s="7"/>
      <c r="E57" s="7"/>
      <c r="F57" s="9"/>
      <c r="G57" s="7"/>
      <c r="H57" s="7"/>
      <c r="L57" s="19"/>
      <c r="M57" s="15"/>
      <c r="X57" s="21"/>
      <c r="Y57" s="21"/>
      <c r="Z57" s="21"/>
      <c r="AA57" s="21"/>
      <c r="AB57" s="21"/>
    </row>
    <row r="58" spans="1:30" ht="14.4" customHeight="1" x14ac:dyDescent="0.3">
      <c r="A58" s="20"/>
      <c r="B58" s="17"/>
      <c r="C58" s="127"/>
      <c r="D58" s="98"/>
      <c r="E58" s="98"/>
      <c r="F58" s="143" t="s">
        <v>3</v>
      </c>
      <c r="G58" s="144" t="s">
        <v>27</v>
      </c>
      <c r="H58" s="144" t="s">
        <v>28</v>
      </c>
      <c r="L58" s="19"/>
      <c r="M58" s="15"/>
      <c r="X58" s="21"/>
      <c r="Y58" s="21"/>
      <c r="Z58" s="21"/>
      <c r="AA58" s="21"/>
      <c r="AB58" s="21"/>
      <c r="AC58" s="21"/>
      <c r="AD58" s="21"/>
    </row>
    <row r="59" spans="1:30" ht="14.4" customHeight="1" x14ac:dyDescent="0.3">
      <c r="A59" s="20"/>
      <c r="B59" s="17"/>
      <c r="C59" s="80" t="s">
        <v>64</v>
      </c>
      <c r="F59" s="33">
        <v>19904</v>
      </c>
      <c r="G59" s="57">
        <v>15.12</v>
      </c>
      <c r="H59" s="31">
        <f>F59/$F$65</f>
        <v>0.78195961342028752</v>
      </c>
      <c r="L59" s="19"/>
      <c r="M59" s="15"/>
      <c r="X59" s="21"/>
      <c r="Y59" s="21"/>
      <c r="Z59" s="21"/>
      <c r="AA59" s="21"/>
      <c r="AB59" s="21"/>
      <c r="AC59" s="21"/>
      <c r="AD59" s="21"/>
    </row>
    <row r="60" spans="1:30" ht="14.4" customHeight="1" x14ac:dyDescent="0.3">
      <c r="A60" s="20"/>
      <c r="B60" s="17"/>
      <c r="C60" s="80" t="s">
        <v>61</v>
      </c>
      <c r="F60" s="33">
        <v>4500</v>
      </c>
      <c r="G60" s="57">
        <v>3.42</v>
      </c>
      <c r="H60" s="31">
        <f t="shared" ref="H60:H63" si="0">F60/$F$65</f>
        <v>0.17678950263219925</v>
      </c>
      <c r="L60" s="19"/>
      <c r="M60" s="15"/>
      <c r="X60" s="21"/>
      <c r="Y60" s="21"/>
      <c r="Z60" s="21"/>
      <c r="AA60" s="21"/>
      <c r="AB60" s="21"/>
      <c r="AC60" s="21"/>
      <c r="AD60" s="21"/>
    </row>
    <row r="61" spans="1:30" ht="14.4" customHeight="1" x14ac:dyDescent="0.3">
      <c r="A61" s="20"/>
      <c r="B61" s="17"/>
      <c r="C61" s="80" t="s">
        <v>34</v>
      </c>
      <c r="F61" s="33">
        <v>600</v>
      </c>
      <c r="G61" s="57">
        <v>0.46</v>
      </c>
      <c r="H61" s="31">
        <f t="shared" si="0"/>
        <v>2.3571933684293236E-2</v>
      </c>
      <c r="L61" s="19"/>
      <c r="M61" s="15"/>
      <c r="X61" s="21"/>
      <c r="Y61" s="21"/>
      <c r="Z61" s="21"/>
      <c r="AA61" s="21"/>
      <c r="AB61" s="21"/>
      <c r="AC61" s="21"/>
      <c r="AD61" s="21"/>
    </row>
    <row r="62" spans="1:30" ht="14.4" customHeight="1" x14ac:dyDescent="0.3">
      <c r="A62" s="20"/>
      <c r="B62" s="17"/>
      <c r="C62" s="80" t="s">
        <v>65</v>
      </c>
      <c r="F62" s="33">
        <v>0</v>
      </c>
      <c r="G62" s="57">
        <f>F62/$F$10</f>
        <v>0</v>
      </c>
      <c r="H62" s="31">
        <f t="shared" si="0"/>
        <v>0</v>
      </c>
      <c r="L62" s="19"/>
      <c r="M62" s="15"/>
      <c r="X62" s="21"/>
      <c r="Y62" s="21"/>
      <c r="Z62" s="21"/>
      <c r="AA62" s="21"/>
      <c r="AB62" s="21"/>
    </row>
    <row r="63" spans="1:30" ht="14.4" customHeight="1" x14ac:dyDescent="0.3">
      <c r="A63" s="20"/>
      <c r="B63" s="17"/>
      <c r="C63" s="80" t="s">
        <v>30</v>
      </c>
      <c r="F63" s="33">
        <v>450</v>
      </c>
      <c r="G63" s="57">
        <v>0.34</v>
      </c>
      <c r="H63" s="31">
        <f t="shared" si="0"/>
        <v>1.7678950263219927E-2</v>
      </c>
      <c r="L63" s="19"/>
      <c r="M63" s="15"/>
      <c r="X63" s="21"/>
      <c r="Y63" s="21"/>
      <c r="Z63" s="21"/>
      <c r="AA63" s="21"/>
      <c r="AB63" s="21"/>
    </row>
    <row r="64" spans="1:30" ht="14.4" customHeight="1" x14ac:dyDescent="0.3">
      <c r="A64" s="20"/>
      <c r="B64" s="17"/>
      <c r="C64" s="80"/>
      <c r="F64" s="33"/>
      <c r="G64" s="36"/>
      <c r="H64" s="31"/>
      <c r="L64" s="19"/>
      <c r="M64" s="15"/>
      <c r="X64" s="21"/>
      <c r="Y64" s="21"/>
      <c r="Z64" s="21"/>
      <c r="AA64" s="21"/>
      <c r="AB64" s="21"/>
    </row>
    <row r="65" spans="1:98" ht="14.4" customHeight="1" x14ac:dyDescent="0.3">
      <c r="A65" s="20"/>
      <c r="B65" s="17"/>
      <c r="C65" s="94" t="s">
        <v>32</v>
      </c>
      <c r="D65" s="93"/>
      <c r="E65" s="93"/>
      <c r="F65" s="10">
        <f>SUM(F59:F63)</f>
        <v>25454</v>
      </c>
      <c r="G65" s="58">
        <f>SUM(G59:G63)</f>
        <v>19.34</v>
      </c>
      <c r="H65" s="11">
        <f>SUM(H59:H63)</f>
        <v>1</v>
      </c>
      <c r="L65" s="19"/>
      <c r="M65" s="15"/>
      <c r="X65" s="21"/>
      <c r="Y65" s="21"/>
      <c r="Z65" s="21"/>
      <c r="AA65" s="21"/>
      <c r="AB65" s="21"/>
    </row>
    <row r="66" spans="1:98" ht="14.4" customHeight="1" x14ac:dyDescent="0.3">
      <c r="A66" s="20"/>
      <c r="B66" s="17"/>
      <c r="C66" s="80"/>
      <c r="F66" s="28"/>
      <c r="G66" s="35"/>
      <c r="H66" s="31"/>
      <c r="L66" s="19"/>
      <c r="M66" s="15"/>
    </row>
    <row r="67" spans="1:98" ht="14.4" customHeight="1" x14ac:dyDescent="0.3">
      <c r="A67" s="14"/>
      <c r="B67" s="14"/>
      <c r="C67" s="79"/>
      <c r="D67" s="14"/>
      <c r="E67" s="14"/>
      <c r="F67" s="14"/>
      <c r="G67" s="14"/>
      <c r="H67" s="14"/>
      <c r="I67" s="14"/>
      <c r="J67" s="14"/>
      <c r="K67" s="67"/>
      <c r="L67" s="19"/>
      <c r="M67" s="15"/>
    </row>
    <row r="68" spans="1:98" ht="14.4" customHeight="1" x14ac:dyDescent="0.3">
      <c r="A68" s="2" t="s">
        <v>23</v>
      </c>
      <c r="B68" s="77"/>
      <c r="C68" s="80"/>
      <c r="L68" s="19"/>
      <c r="M68" s="15"/>
    </row>
    <row r="69" spans="1:98" ht="14.4" customHeight="1" collapsed="1" x14ac:dyDescent="0.3">
      <c r="A69" s="20"/>
      <c r="B69" s="17"/>
      <c r="C69" s="80"/>
      <c r="L69" s="19"/>
      <c r="M69" s="15"/>
    </row>
    <row r="70" spans="1:98" s="32" customFormat="1" ht="14.4" customHeight="1" x14ac:dyDescent="0.3">
      <c r="A70" s="20"/>
      <c r="B70" s="17"/>
      <c r="C70" s="37" t="s">
        <v>35</v>
      </c>
      <c r="D70" s="38"/>
      <c r="E70" s="38"/>
      <c r="F70" s="38"/>
      <c r="G70" s="38"/>
      <c r="H70" s="38"/>
      <c r="I70" s="38"/>
      <c r="J70" s="38"/>
      <c r="K70" s="69"/>
      <c r="L70" s="19"/>
      <c r="M70" s="15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</row>
    <row r="71" spans="1:98" ht="14.4" customHeight="1" x14ac:dyDescent="0.3">
      <c r="A71" s="20"/>
      <c r="B71" s="17"/>
      <c r="C71" s="121"/>
      <c r="D71" s="122"/>
      <c r="E71" s="123" t="s">
        <v>67</v>
      </c>
      <c r="F71" s="123" t="s">
        <v>68</v>
      </c>
      <c r="G71" s="123" t="s">
        <v>69</v>
      </c>
      <c r="H71" s="123" t="s">
        <v>70</v>
      </c>
      <c r="I71" s="123" t="s">
        <v>71</v>
      </c>
      <c r="J71" s="123" t="s">
        <v>72</v>
      </c>
      <c r="K71" s="69"/>
      <c r="L71" s="19"/>
      <c r="M71" s="15"/>
    </row>
    <row r="72" spans="1:98" ht="14.4" customHeight="1" x14ac:dyDescent="0.3">
      <c r="A72" s="20"/>
      <c r="B72" s="17"/>
      <c r="C72" s="119" t="s">
        <v>9</v>
      </c>
      <c r="D72" s="120"/>
      <c r="E72" s="95">
        <v>7111</v>
      </c>
      <c r="F72" s="95">
        <v>7502</v>
      </c>
      <c r="G72" s="95">
        <v>7915</v>
      </c>
      <c r="H72" s="95">
        <v>8350</v>
      </c>
      <c r="I72" s="95">
        <v>8809</v>
      </c>
      <c r="J72" s="95">
        <v>9294</v>
      </c>
      <c r="K72" s="69"/>
      <c r="L72" s="19"/>
      <c r="M72" s="15"/>
    </row>
    <row r="73" spans="1:98" ht="14.4" customHeight="1" x14ac:dyDescent="0.3">
      <c r="A73" s="20"/>
      <c r="B73" s="17"/>
      <c r="C73" s="84" t="s">
        <v>55</v>
      </c>
      <c r="D73" s="18"/>
      <c r="E73" s="53"/>
      <c r="F73" s="53">
        <v>5.5E-2</v>
      </c>
      <c r="G73" s="53">
        <v>5.5E-2</v>
      </c>
      <c r="H73" s="53">
        <v>5.5E-2</v>
      </c>
      <c r="I73" s="53">
        <v>5.5E-2</v>
      </c>
      <c r="J73" s="53">
        <v>5.5E-2</v>
      </c>
      <c r="K73" s="69"/>
      <c r="L73" s="19"/>
      <c r="M73" s="15"/>
    </row>
    <row r="74" spans="1:98" ht="14.4" customHeight="1" x14ac:dyDescent="0.3">
      <c r="A74" s="20"/>
      <c r="B74" s="17"/>
      <c r="C74" s="78"/>
      <c r="D74" s="18"/>
      <c r="E74" s="60"/>
      <c r="F74" s="60"/>
      <c r="G74" s="60"/>
      <c r="H74" s="60"/>
      <c r="I74" s="60"/>
      <c r="J74" s="60"/>
      <c r="K74" s="70"/>
      <c r="L74" s="19"/>
      <c r="M74" s="15"/>
    </row>
    <row r="75" spans="1:98" ht="14.4" customHeight="1" x14ac:dyDescent="0.3">
      <c r="A75" s="20"/>
      <c r="B75" s="17"/>
      <c r="C75" s="85" t="s">
        <v>11</v>
      </c>
      <c r="D75" s="18"/>
      <c r="E75" s="42">
        <v>1316</v>
      </c>
      <c r="F75" s="42">
        <v>1448</v>
      </c>
      <c r="G75" s="42">
        <v>1591</v>
      </c>
      <c r="H75" s="42">
        <v>1745</v>
      </c>
      <c r="I75" s="42">
        <v>1911</v>
      </c>
      <c r="J75" s="42">
        <v>2091</v>
      </c>
      <c r="K75" s="69"/>
      <c r="L75" s="19"/>
      <c r="M75" s="15"/>
    </row>
    <row r="76" spans="1:98" ht="14.4" customHeight="1" x14ac:dyDescent="0.3">
      <c r="A76" s="20"/>
      <c r="B76" s="17"/>
      <c r="C76" s="84" t="s">
        <v>56</v>
      </c>
      <c r="D76" s="18"/>
      <c r="E76" s="53">
        <v>0.185</v>
      </c>
      <c r="F76" s="53">
        <v>0.193</v>
      </c>
      <c r="G76" s="53">
        <v>0.20100000000000001</v>
      </c>
      <c r="H76" s="53">
        <v>0.20899999999999999</v>
      </c>
      <c r="I76" s="53">
        <v>0.217</v>
      </c>
      <c r="J76" s="53">
        <v>0.22500000000000001</v>
      </c>
      <c r="K76" s="69"/>
      <c r="L76" s="19"/>
      <c r="M76" s="15"/>
    </row>
    <row r="77" spans="1:98" ht="14.4" customHeight="1" x14ac:dyDescent="0.3">
      <c r="A77" s="20"/>
      <c r="B77" s="17"/>
      <c r="C77" s="78"/>
      <c r="D77" s="18"/>
      <c r="E77" s="18"/>
      <c r="F77" s="18"/>
      <c r="G77" s="18"/>
      <c r="H77" s="18"/>
      <c r="I77" s="18"/>
      <c r="J77" s="18"/>
      <c r="L77" s="19"/>
      <c r="M77" s="15"/>
    </row>
    <row r="78" spans="1:98" ht="14.4" customHeight="1" x14ac:dyDescent="0.3">
      <c r="A78" s="20"/>
      <c r="B78" s="17"/>
      <c r="C78" s="78" t="s">
        <v>37</v>
      </c>
      <c r="D78" s="18"/>
      <c r="E78" s="42">
        <v>736</v>
      </c>
      <c r="F78" s="42">
        <v>843</v>
      </c>
      <c r="G78" s="42">
        <v>958</v>
      </c>
      <c r="H78" s="42">
        <v>1080</v>
      </c>
      <c r="I78" s="42">
        <v>1211</v>
      </c>
      <c r="J78" s="42">
        <v>1351</v>
      </c>
      <c r="K78" s="71"/>
      <c r="L78" s="19"/>
      <c r="M78" s="15"/>
    </row>
    <row r="79" spans="1:98" ht="14.4" customHeight="1" x14ac:dyDescent="0.3">
      <c r="A79" s="20"/>
      <c r="B79" s="17"/>
      <c r="C79" s="84" t="s">
        <v>57</v>
      </c>
      <c r="D79" s="18"/>
      <c r="E79" s="53">
        <v>0.10349999999999999</v>
      </c>
      <c r="F79" s="53">
        <v>0.1123</v>
      </c>
      <c r="G79" s="53">
        <v>0.121</v>
      </c>
      <c r="H79" s="53">
        <v>0.1293</v>
      </c>
      <c r="I79" s="53">
        <v>0.13750000000000001</v>
      </c>
      <c r="J79" s="53">
        <v>0.1454</v>
      </c>
      <c r="K79" s="69"/>
      <c r="L79" s="19"/>
      <c r="M79" s="15"/>
    </row>
    <row r="80" spans="1:98" ht="14.4" customHeight="1" x14ac:dyDescent="0.3">
      <c r="A80" s="20"/>
      <c r="B80" s="17"/>
      <c r="C80" s="84"/>
      <c r="D80" s="18"/>
      <c r="E80" s="61"/>
      <c r="F80" s="61"/>
      <c r="G80" s="61"/>
      <c r="H80" s="61"/>
      <c r="I80" s="61"/>
      <c r="J80" s="61"/>
      <c r="K80" s="69"/>
      <c r="L80" s="19"/>
      <c r="M80" s="15"/>
    </row>
    <row r="81" spans="1:13" ht="14.4" customHeight="1" x14ac:dyDescent="0.3">
      <c r="A81" s="20"/>
      <c r="B81" s="17"/>
      <c r="C81" s="78" t="s">
        <v>38</v>
      </c>
      <c r="D81" s="18"/>
      <c r="E81" s="23">
        <v>-567</v>
      </c>
      <c r="F81" s="62">
        <v>-567</v>
      </c>
      <c r="G81" s="62">
        <v>-530</v>
      </c>
      <c r="H81" s="23">
        <v>-490</v>
      </c>
      <c r="I81" s="23">
        <v>-445</v>
      </c>
      <c r="J81" s="23">
        <v>-395</v>
      </c>
      <c r="L81" s="19"/>
      <c r="M81" s="15"/>
    </row>
    <row r="82" spans="1:13" ht="14.4" customHeight="1" x14ac:dyDescent="0.3">
      <c r="A82" s="20"/>
      <c r="B82" s="17"/>
      <c r="C82" s="78"/>
      <c r="D82" s="18"/>
      <c r="E82" s="42"/>
      <c r="F82" s="42"/>
      <c r="G82" s="42"/>
      <c r="H82" s="42"/>
      <c r="I82" s="42"/>
      <c r="J82" s="42"/>
      <c r="K82" s="71"/>
      <c r="L82" s="19"/>
      <c r="M82" s="15"/>
    </row>
    <row r="83" spans="1:13" ht="14.4" customHeight="1" x14ac:dyDescent="0.3">
      <c r="A83" s="20"/>
      <c r="B83" s="17"/>
      <c r="C83" s="78" t="s">
        <v>39</v>
      </c>
      <c r="D83" s="18"/>
      <c r="E83" s="42">
        <v>169</v>
      </c>
      <c r="F83" s="42">
        <v>276</v>
      </c>
      <c r="G83" s="42">
        <v>428</v>
      </c>
      <c r="H83" s="42">
        <v>590</v>
      </c>
      <c r="I83" s="42">
        <v>766</v>
      </c>
      <c r="J83" s="42">
        <v>956</v>
      </c>
      <c r="K83" s="71"/>
      <c r="L83" s="19"/>
      <c r="M83" s="15"/>
    </row>
    <row r="84" spans="1:13" ht="14.4" customHeight="1" x14ac:dyDescent="0.3">
      <c r="A84" s="20"/>
      <c r="B84" s="17"/>
      <c r="C84" s="84" t="s">
        <v>57</v>
      </c>
      <c r="D84" s="18"/>
      <c r="E84" s="53">
        <v>2.3699999999999999E-2</v>
      </c>
      <c r="F84" s="53">
        <v>3.6799999999999999E-2</v>
      </c>
      <c r="G84" s="53">
        <v>5.4100000000000002E-2</v>
      </c>
      <c r="H84" s="53">
        <v>7.0699999999999999E-2</v>
      </c>
      <c r="I84" s="53">
        <v>8.6999999999999994E-2</v>
      </c>
      <c r="J84" s="53">
        <v>0.10290000000000001</v>
      </c>
      <c r="K84" s="69"/>
      <c r="L84" s="19"/>
      <c r="M84" s="15"/>
    </row>
    <row r="85" spans="1:13" ht="14.4" customHeight="1" x14ac:dyDescent="0.3">
      <c r="A85" s="20"/>
      <c r="B85" s="17"/>
      <c r="C85" s="78"/>
      <c r="D85" s="18"/>
      <c r="E85" s="53"/>
      <c r="F85" s="53"/>
      <c r="G85" s="53"/>
      <c r="H85" s="53"/>
      <c r="I85" s="53"/>
      <c r="J85" s="53"/>
      <c r="K85" s="71"/>
      <c r="L85" s="19"/>
      <c r="M85" s="15"/>
    </row>
    <row r="86" spans="1:13" ht="14.4" customHeight="1" x14ac:dyDescent="0.3">
      <c r="A86" s="20"/>
      <c r="B86" s="17"/>
      <c r="C86" s="78" t="s">
        <v>40</v>
      </c>
      <c r="D86" s="18"/>
      <c r="E86" s="42">
        <v>-42</v>
      </c>
      <c r="F86" s="42">
        <v>-69</v>
      </c>
      <c r="G86" s="42">
        <v>-107</v>
      </c>
      <c r="H86" s="42">
        <v>-148</v>
      </c>
      <c r="I86" s="42">
        <v>-192</v>
      </c>
      <c r="J86" s="42">
        <v>-239</v>
      </c>
      <c r="K86" s="72"/>
      <c r="L86" s="19"/>
      <c r="M86" s="15"/>
    </row>
    <row r="87" spans="1:13" ht="14.4" customHeight="1" x14ac:dyDescent="0.3">
      <c r="A87" s="20"/>
      <c r="B87" s="17"/>
      <c r="C87" s="84" t="s">
        <v>74</v>
      </c>
      <c r="D87" s="18"/>
      <c r="E87" s="53">
        <v>0.25</v>
      </c>
      <c r="F87" s="53">
        <v>0.25</v>
      </c>
      <c r="G87" s="53">
        <v>0.25</v>
      </c>
      <c r="H87" s="53">
        <v>0.25</v>
      </c>
      <c r="I87" s="53">
        <v>0.25</v>
      </c>
      <c r="J87" s="53">
        <v>0.25</v>
      </c>
      <c r="K87" s="69"/>
      <c r="L87" s="19"/>
      <c r="M87" s="15"/>
    </row>
    <row r="88" spans="1:13" ht="14.4" customHeight="1" x14ac:dyDescent="0.3">
      <c r="A88" s="20"/>
      <c r="B88" s="17"/>
      <c r="C88" s="149"/>
      <c r="D88" s="150"/>
      <c r="E88" s="102"/>
      <c r="F88" s="102"/>
      <c r="G88" s="102"/>
      <c r="H88" s="102"/>
      <c r="I88" s="102"/>
      <c r="J88" s="102"/>
      <c r="K88" s="69"/>
      <c r="L88" s="19"/>
      <c r="M88" s="15"/>
    </row>
    <row r="89" spans="1:13" ht="14.4" customHeight="1" x14ac:dyDescent="0.3">
      <c r="A89" s="20"/>
      <c r="B89" s="17"/>
      <c r="C89" s="151" t="s">
        <v>41</v>
      </c>
      <c r="D89" s="152"/>
      <c r="E89" s="153">
        <f>E83+E86</f>
        <v>127</v>
      </c>
      <c r="F89" s="154">
        <f t="shared" ref="F89:J89" si="1">F83+F86</f>
        <v>207</v>
      </c>
      <c r="G89" s="153">
        <f t="shared" si="1"/>
        <v>321</v>
      </c>
      <c r="H89" s="153">
        <f t="shared" si="1"/>
        <v>442</v>
      </c>
      <c r="I89" s="153">
        <f t="shared" si="1"/>
        <v>574</v>
      </c>
      <c r="J89" s="153">
        <f t="shared" si="1"/>
        <v>717</v>
      </c>
      <c r="K89" s="71"/>
      <c r="L89" s="19"/>
      <c r="M89" s="15"/>
    </row>
    <row r="90" spans="1:13" ht="14.4" customHeight="1" x14ac:dyDescent="0.3">
      <c r="A90" s="20"/>
      <c r="B90" s="17"/>
      <c r="C90" s="147" t="s">
        <v>57</v>
      </c>
      <c r="D90" s="148"/>
      <c r="E90" s="116">
        <f>E89/E72</f>
        <v>1.7859654057094641E-2</v>
      </c>
      <c r="F90" s="116">
        <f t="shared" ref="F90:J90" si="2">F89/F72</f>
        <v>2.7592641962143429E-2</v>
      </c>
      <c r="G90" s="116">
        <f t="shared" si="2"/>
        <v>4.0555906506632974E-2</v>
      </c>
      <c r="H90" s="116">
        <f t="shared" si="2"/>
        <v>5.2934131736526946E-2</v>
      </c>
      <c r="I90" s="116">
        <f t="shared" si="2"/>
        <v>6.5160631172664324E-2</v>
      </c>
      <c r="J90" s="116">
        <f t="shared" si="2"/>
        <v>7.714654615881214E-2</v>
      </c>
      <c r="K90" s="69"/>
      <c r="L90" s="19"/>
      <c r="M90" s="15"/>
    </row>
    <row r="91" spans="1:13" ht="14.4" customHeight="1" x14ac:dyDescent="0.3">
      <c r="A91" s="20"/>
      <c r="B91" s="17"/>
      <c r="C91" s="145"/>
      <c r="D91" s="120"/>
      <c r="E91" s="146"/>
      <c r="F91" s="95"/>
      <c r="G91" s="95"/>
      <c r="H91" s="95"/>
      <c r="I91" s="95"/>
      <c r="J91" s="95"/>
      <c r="K91" s="69"/>
      <c r="L91" s="19"/>
      <c r="M91" s="15"/>
    </row>
    <row r="92" spans="1:13" ht="14.4" customHeight="1" x14ac:dyDescent="0.3">
      <c r="A92" s="20"/>
      <c r="B92" s="17"/>
      <c r="C92" s="59" t="s">
        <v>73</v>
      </c>
      <c r="D92" s="38"/>
      <c r="E92" s="38"/>
      <c r="F92" s="38"/>
      <c r="G92" s="38"/>
      <c r="H92" s="38"/>
      <c r="I92" s="38"/>
      <c r="J92" s="38"/>
      <c r="L92" s="19"/>
      <c r="M92" s="15"/>
    </row>
    <row r="93" spans="1:13" ht="14.4" customHeight="1" x14ac:dyDescent="0.3">
      <c r="A93" s="20"/>
      <c r="B93" s="17"/>
      <c r="C93" s="128"/>
      <c r="D93" s="123"/>
      <c r="E93" s="123" t="str">
        <f>$E$71</f>
        <v>FY24</v>
      </c>
      <c r="F93" s="123" t="str">
        <f>$F$71</f>
        <v>FY25</v>
      </c>
      <c r="G93" s="123" t="str">
        <f>$G$71</f>
        <v>FY26</v>
      </c>
      <c r="H93" s="123" t="str">
        <f>$H$71</f>
        <v>FY27</v>
      </c>
      <c r="I93" s="123" t="str">
        <f>$I$71</f>
        <v>FY28</v>
      </c>
      <c r="J93" s="123" t="str">
        <f>$J$71</f>
        <v>FY29</v>
      </c>
      <c r="K93" s="69"/>
      <c r="L93" s="19"/>
      <c r="M93" s="15"/>
    </row>
    <row r="94" spans="1:13" ht="14.4" customHeight="1" x14ac:dyDescent="0.3">
      <c r="A94" s="20"/>
      <c r="B94" s="17"/>
      <c r="C94" s="80" t="s">
        <v>13</v>
      </c>
      <c r="E94" s="33">
        <v>580</v>
      </c>
      <c r="F94" s="33">
        <v>605</v>
      </c>
      <c r="G94" s="33">
        <v>633</v>
      </c>
      <c r="H94" s="33">
        <v>665</v>
      </c>
      <c r="I94" s="33">
        <v>700</v>
      </c>
      <c r="J94" s="33">
        <v>740</v>
      </c>
      <c r="K94" s="71"/>
      <c r="L94" s="19"/>
      <c r="M94" s="15"/>
    </row>
    <row r="95" spans="1:13" ht="14.4" customHeight="1" x14ac:dyDescent="0.3">
      <c r="A95" s="20"/>
      <c r="B95" s="17"/>
      <c r="C95" s="86" t="s">
        <v>36</v>
      </c>
      <c r="E95" s="40">
        <f t="shared" ref="E95:J95" si="3">E94/E72</f>
        <v>8.1563774433975528E-2</v>
      </c>
      <c r="F95" s="40">
        <f t="shared" si="3"/>
        <v>8.0645161290322578E-2</v>
      </c>
      <c r="G95" s="40">
        <f t="shared" si="3"/>
        <v>7.9974731522425777E-2</v>
      </c>
      <c r="H95" s="40">
        <f t="shared" si="3"/>
        <v>7.9640718562874246E-2</v>
      </c>
      <c r="I95" s="40">
        <f t="shared" si="3"/>
        <v>7.9464184356907705E-2</v>
      </c>
      <c r="J95" s="40">
        <f t="shared" si="3"/>
        <v>7.9621261028620618E-2</v>
      </c>
      <c r="K95" s="69"/>
      <c r="L95" s="19"/>
      <c r="M95" s="15"/>
    </row>
    <row r="96" spans="1:13" ht="14.4" customHeight="1" x14ac:dyDescent="0.3">
      <c r="A96" s="20"/>
      <c r="B96" s="17"/>
      <c r="C96" s="86"/>
      <c r="E96" s="40"/>
      <c r="F96" s="28"/>
      <c r="G96" s="28"/>
      <c r="H96" s="28"/>
      <c r="I96" s="28"/>
      <c r="J96" s="28"/>
      <c r="L96" s="19"/>
      <c r="M96" s="15"/>
    </row>
    <row r="97" spans="1:13" ht="14.4" customHeight="1" x14ac:dyDescent="0.3">
      <c r="A97" s="20"/>
      <c r="B97" s="17"/>
      <c r="C97" s="80" t="s">
        <v>42</v>
      </c>
      <c r="E97" s="33">
        <v>-450</v>
      </c>
      <c r="F97" s="33">
        <v>-475</v>
      </c>
      <c r="G97" s="33">
        <v>-501</v>
      </c>
      <c r="H97" s="33">
        <v>-528</v>
      </c>
      <c r="I97" s="33">
        <v>-558</v>
      </c>
      <c r="J97" s="33">
        <v>-588</v>
      </c>
      <c r="K97" s="71"/>
      <c r="L97" s="19"/>
      <c r="M97" s="15"/>
    </row>
    <row r="98" spans="1:13" ht="14.4" customHeight="1" x14ac:dyDescent="0.3">
      <c r="A98" s="20"/>
      <c r="B98" s="17"/>
      <c r="C98" s="86" t="s">
        <v>75</v>
      </c>
      <c r="E98" s="40">
        <v>-6.3299999999999995E-2</v>
      </c>
      <c r="F98" s="40">
        <v>-6.3299999999999995E-2</v>
      </c>
      <c r="G98" s="40">
        <v>-6.3299999999999995E-2</v>
      </c>
      <c r="H98" s="40">
        <v>-6.3299999999999995E-2</v>
      </c>
      <c r="I98" s="40">
        <v>-6.3299999999999995E-2</v>
      </c>
      <c r="J98" s="40">
        <v>-6.3299999999999995E-2</v>
      </c>
      <c r="K98" s="73"/>
      <c r="L98" s="19"/>
      <c r="M98" s="15"/>
    </row>
    <row r="99" spans="1:13" ht="14.4" customHeight="1" x14ac:dyDescent="0.3">
      <c r="A99" s="20"/>
      <c r="B99" s="17"/>
      <c r="C99" s="80" t="s">
        <v>45</v>
      </c>
      <c r="E99" s="41"/>
      <c r="F99" s="64">
        <f>(F97-E97)*-1</f>
        <v>25</v>
      </c>
      <c r="G99" s="64">
        <f t="shared" ref="G99:J99" si="4">(G97-F97)*-1</f>
        <v>26</v>
      </c>
      <c r="H99" s="64">
        <f t="shared" si="4"/>
        <v>27</v>
      </c>
      <c r="I99" s="64">
        <f t="shared" si="4"/>
        <v>30</v>
      </c>
      <c r="J99" s="64">
        <f t="shared" si="4"/>
        <v>30</v>
      </c>
      <c r="K99" s="73"/>
      <c r="L99" s="19"/>
      <c r="M99" s="15"/>
    </row>
    <row r="100" spans="1:13" ht="14.4" customHeight="1" x14ac:dyDescent="0.3">
      <c r="A100" s="20"/>
      <c r="B100" s="17"/>
      <c r="C100" s="86"/>
      <c r="E100" s="41"/>
      <c r="F100" s="41"/>
      <c r="G100" s="41"/>
      <c r="H100" s="41"/>
      <c r="I100" s="41"/>
      <c r="J100" s="41"/>
      <c r="L100" s="19"/>
      <c r="M100" s="15"/>
    </row>
    <row r="101" spans="1:13" ht="14.4" customHeight="1" x14ac:dyDescent="0.3">
      <c r="A101" s="20"/>
      <c r="B101" s="17"/>
      <c r="C101" s="80" t="s">
        <v>44</v>
      </c>
      <c r="E101" s="33">
        <v>180</v>
      </c>
      <c r="F101" s="33">
        <v>190</v>
      </c>
      <c r="G101" s="33">
        <v>200</v>
      </c>
      <c r="H101" s="33">
        <v>211</v>
      </c>
      <c r="I101" s="33">
        <v>223</v>
      </c>
      <c r="J101" s="33">
        <v>235</v>
      </c>
      <c r="K101" s="71"/>
      <c r="L101" s="19"/>
      <c r="M101" s="15"/>
    </row>
    <row r="102" spans="1:13" ht="14.4" customHeight="1" x14ac:dyDescent="0.3">
      <c r="A102" s="20"/>
      <c r="B102" s="17"/>
      <c r="C102" s="86" t="s">
        <v>36</v>
      </c>
      <c r="E102" s="40">
        <f t="shared" ref="E102:J102" si="5">E101/E72</f>
        <v>2.5312895513992406E-2</v>
      </c>
      <c r="F102" s="40">
        <f t="shared" si="5"/>
        <v>2.5326579578778992E-2</v>
      </c>
      <c r="G102" s="40">
        <f t="shared" si="5"/>
        <v>2.5268477574226154E-2</v>
      </c>
      <c r="H102" s="40">
        <f t="shared" si="5"/>
        <v>2.5269461077844311E-2</v>
      </c>
      <c r="I102" s="40">
        <f t="shared" si="5"/>
        <v>2.5315018730843457E-2</v>
      </c>
      <c r="J102" s="40">
        <f t="shared" si="5"/>
        <v>2.5285130191521413E-2</v>
      </c>
      <c r="L102" s="19"/>
      <c r="M102" s="15"/>
    </row>
    <row r="103" spans="1:13" ht="14.4" customHeight="1" collapsed="1" x14ac:dyDescent="0.3">
      <c r="A103" s="20"/>
      <c r="B103" s="17"/>
      <c r="C103" s="80"/>
      <c r="D103" s="39"/>
      <c r="L103" s="19"/>
      <c r="M103" s="15"/>
    </row>
    <row r="104" spans="1:13" ht="14.4" customHeight="1" x14ac:dyDescent="0.3">
      <c r="A104" s="20"/>
      <c r="B104" s="17"/>
      <c r="C104" s="81" t="s">
        <v>43</v>
      </c>
      <c r="D104" s="7"/>
      <c r="E104" s="8"/>
      <c r="F104" s="8"/>
      <c r="G104" s="8"/>
      <c r="H104" s="8"/>
      <c r="I104" s="8"/>
      <c r="J104" s="8"/>
      <c r="L104" s="19"/>
      <c r="M104" s="15"/>
    </row>
    <row r="105" spans="1:13" ht="14.4" customHeight="1" x14ac:dyDescent="0.3">
      <c r="A105" s="20"/>
      <c r="B105" s="17"/>
      <c r="C105" s="96"/>
      <c r="D105" s="97"/>
      <c r="E105" s="123" t="str">
        <f>$E$71</f>
        <v>FY24</v>
      </c>
      <c r="F105" s="123" t="str">
        <f>$F$71</f>
        <v>FY25</v>
      </c>
      <c r="G105" s="123" t="str">
        <f>$G$71</f>
        <v>FY26</v>
      </c>
      <c r="H105" s="123" t="str">
        <f>$H$71</f>
        <v>FY27</v>
      </c>
      <c r="I105" s="123" t="str">
        <f>$I$71</f>
        <v>FY28</v>
      </c>
      <c r="J105" s="123" t="str">
        <f>$J$71</f>
        <v>FY29</v>
      </c>
      <c r="L105" s="19"/>
      <c r="M105" s="15"/>
    </row>
    <row r="106" spans="1:13" ht="14.4" customHeight="1" x14ac:dyDescent="0.3">
      <c r="A106" s="20"/>
      <c r="B106" s="17"/>
      <c r="C106" s="80" t="s">
        <v>41</v>
      </c>
      <c r="E106" s="33">
        <f t="shared" ref="E106:J106" si="6">E89</f>
        <v>127</v>
      </c>
      <c r="F106" s="33">
        <f t="shared" si="6"/>
        <v>207</v>
      </c>
      <c r="G106" s="33">
        <f t="shared" si="6"/>
        <v>321</v>
      </c>
      <c r="H106" s="33">
        <f t="shared" si="6"/>
        <v>442</v>
      </c>
      <c r="I106" s="33">
        <f t="shared" si="6"/>
        <v>574</v>
      </c>
      <c r="J106" s="33">
        <f t="shared" si="6"/>
        <v>717</v>
      </c>
      <c r="K106" s="46" t="s">
        <v>76</v>
      </c>
      <c r="L106" s="19"/>
      <c r="M106" s="15"/>
    </row>
    <row r="107" spans="1:13" ht="14.4" customHeight="1" x14ac:dyDescent="0.3">
      <c r="A107" s="20"/>
      <c r="B107" s="17"/>
      <c r="C107" s="80" t="s">
        <v>13</v>
      </c>
      <c r="E107" s="33">
        <f>E94</f>
        <v>580</v>
      </c>
      <c r="F107" s="33">
        <f t="shared" ref="F107:J107" si="7">F94</f>
        <v>605</v>
      </c>
      <c r="G107" s="33">
        <f t="shared" si="7"/>
        <v>633</v>
      </c>
      <c r="H107" s="33">
        <f t="shared" si="7"/>
        <v>665</v>
      </c>
      <c r="I107" s="33">
        <f t="shared" si="7"/>
        <v>700</v>
      </c>
      <c r="J107" s="33">
        <f t="shared" si="7"/>
        <v>740</v>
      </c>
      <c r="K107" s="46" t="s">
        <v>76</v>
      </c>
      <c r="L107" s="19"/>
      <c r="M107" s="15"/>
    </row>
    <row r="108" spans="1:13" ht="14.4" customHeight="1" x14ac:dyDescent="0.3">
      <c r="A108" s="20"/>
      <c r="B108" s="17"/>
      <c r="C108" s="80" t="s">
        <v>44</v>
      </c>
      <c r="E108" s="33">
        <f>E101</f>
        <v>180</v>
      </c>
      <c r="F108" s="33">
        <f t="shared" ref="F108:J108" si="8">F101</f>
        <v>190</v>
      </c>
      <c r="G108" s="33">
        <f t="shared" si="8"/>
        <v>200</v>
      </c>
      <c r="H108" s="33">
        <f t="shared" si="8"/>
        <v>211</v>
      </c>
      <c r="I108" s="33">
        <f t="shared" si="8"/>
        <v>223</v>
      </c>
      <c r="J108" s="33">
        <f t="shared" si="8"/>
        <v>235</v>
      </c>
      <c r="K108" s="46" t="s">
        <v>77</v>
      </c>
      <c r="L108" s="19"/>
      <c r="M108" s="15"/>
    </row>
    <row r="109" spans="1:13" ht="14.4" customHeight="1" x14ac:dyDescent="0.3">
      <c r="A109" s="20"/>
      <c r="B109" s="17"/>
      <c r="C109" s="80" t="s">
        <v>45</v>
      </c>
      <c r="E109" s="34">
        <f>E99</f>
        <v>0</v>
      </c>
      <c r="F109" s="34">
        <f t="shared" ref="F109:J109" si="9">F99</f>
        <v>25</v>
      </c>
      <c r="G109" s="34">
        <f t="shared" si="9"/>
        <v>26</v>
      </c>
      <c r="H109" s="34">
        <f t="shared" si="9"/>
        <v>27</v>
      </c>
      <c r="I109" s="34">
        <f t="shared" si="9"/>
        <v>30</v>
      </c>
      <c r="J109" s="34">
        <f t="shared" si="9"/>
        <v>30</v>
      </c>
      <c r="K109" s="46" t="s">
        <v>76</v>
      </c>
      <c r="L109" s="19"/>
      <c r="M109" s="15"/>
    </row>
    <row r="110" spans="1:13" ht="14.4" customHeight="1" x14ac:dyDescent="0.3">
      <c r="A110" s="20"/>
      <c r="B110" s="17"/>
      <c r="C110" s="87" t="s">
        <v>43</v>
      </c>
      <c r="D110" s="52"/>
      <c r="E110" s="63">
        <f>E106+E107-E108+E109</f>
        <v>527</v>
      </c>
      <c r="F110" s="63">
        <f t="shared" ref="F110:J110" si="10">F106+F107-F108+F109</f>
        <v>647</v>
      </c>
      <c r="G110" s="63">
        <f t="shared" si="10"/>
        <v>780</v>
      </c>
      <c r="H110" s="63">
        <f t="shared" si="10"/>
        <v>923</v>
      </c>
      <c r="I110" s="63">
        <f t="shared" si="10"/>
        <v>1081</v>
      </c>
      <c r="J110" s="63">
        <f t="shared" si="10"/>
        <v>1252</v>
      </c>
      <c r="L110" s="19"/>
      <c r="M110" s="15"/>
    </row>
    <row r="111" spans="1:13" ht="14.4" customHeight="1" x14ac:dyDescent="0.3">
      <c r="A111" s="20"/>
      <c r="B111" s="17"/>
      <c r="C111" s="80"/>
      <c r="L111" s="19"/>
      <c r="M111" s="15"/>
    </row>
    <row r="112" spans="1:13" ht="14.4" customHeight="1" x14ac:dyDescent="0.3">
      <c r="A112" s="14"/>
      <c r="B112" s="14"/>
      <c r="C112" s="79"/>
      <c r="D112" s="14"/>
      <c r="E112" s="14"/>
      <c r="F112" s="14"/>
      <c r="G112" s="14"/>
      <c r="H112" s="14"/>
      <c r="I112" s="14"/>
      <c r="J112" s="14"/>
      <c r="K112" s="67"/>
      <c r="L112" s="19"/>
      <c r="M112" s="15"/>
    </row>
    <row r="113" spans="1:13" ht="14.4" customHeight="1" x14ac:dyDescent="0.3">
      <c r="A113" s="12" t="s">
        <v>46</v>
      </c>
      <c r="B113" s="77"/>
      <c r="C113" s="80"/>
      <c r="L113" s="19"/>
      <c r="M113" s="15"/>
    </row>
    <row r="114" spans="1:13" ht="14.4" customHeight="1" x14ac:dyDescent="0.3">
      <c r="A114" s="20"/>
      <c r="B114" s="17"/>
      <c r="C114" s="80"/>
      <c r="L114" s="19"/>
      <c r="M114" s="15"/>
    </row>
    <row r="115" spans="1:13" ht="14.4" customHeight="1" x14ac:dyDescent="0.3">
      <c r="A115" s="20"/>
      <c r="B115" s="17"/>
      <c r="C115" s="81"/>
      <c r="D115" s="7"/>
      <c r="E115" s="8"/>
      <c r="F115" s="8"/>
      <c r="G115" s="8"/>
      <c r="H115" s="8"/>
      <c r="I115" s="8"/>
      <c r="J115" s="8"/>
      <c r="L115" s="19"/>
      <c r="M115" s="15"/>
    </row>
    <row r="116" spans="1:13" ht="14.4" customHeight="1" x14ac:dyDescent="0.3">
      <c r="A116" s="20"/>
      <c r="B116" s="17"/>
      <c r="C116" s="80"/>
      <c r="E116" s="124" t="str">
        <f>$E$71</f>
        <v>FY24</v>
      </c>
      <c r="F116" s="124" t="str">
        <f>$F$71</f>
        <v>FY25</v>
      </c>
      <c r="G116" s="124" t="str">
        <f>$G$71</f>
        <v>FY26</v>
      </c>
      <c r="H116" s="124" t="str">
        <f>$H$71</f>
        <v>FY27</v>
      </c>
      <c r="I116" s="124" t="str">
        <f>$I$71</f>
        <v>FY28</v>
      </c>
      <c r="J116" s="124" t="str">
        <f>$J$71</f>
        <v>FY29</v>
      </c>
      <c r="L116" s="19"/>
      <c r="M116" s="15"/>
    </row>
    <row r="117" spans="1:13" ht="14.4" customHeight="1" x14ac:dyDescent="0.3">
      <c r="A117" s="20"/>
      <c r="B117" s="17"/>
      <c r="C117" s="100" t="s">
        <v>5</v>
      </c>
      <c r="D117" s="101"/>
      <c r="E117" s="101"/>
      <c r="F117" s="101"/>
      <c r="G117" s="101"/>
      <c r="H117" s="101"/>
      <c r="I117" s="101"/>
      <c r="J117" s="101"/>
      <c r="L117" s="19"/>
      <c r="M117" s="15"/>
    </row>
    <row r="118" spans="1:13" ht="14.4" customHeight="1" x14ac:dyDescent="0.3">
      <c r="A118" s="20"/>
      <c r="B118" s="17"/>
      <c r="C118" s="80" t="s">
        <v>80</v>
      </c>
      <c r="E118" s="95"/>
      <c r="F118" s="95">
        <f>E121</f>
        <v>4606</v>
      </c>
      <c r="G118" s="95">
        <f>F121</f>
        <v>4079</v>
      </c>
      <c r="H118" s="95">
        <f>G121</f>
        <v>3432</v>
      </c>
      <c r="I118" s="95">
        <f>H121</f>
        <v>2652</v>
      </c>
      <c r="J118" s="95">
        <f>I121</f>
        <v>1728</v>
      </c>
      <c r="L118" s="19"/>
      <c r="M118" s="15"/>
    </row>
    <row r="119" spans="1:13" ht="14.4" customHeight="1" x14ac:dyDescent="0.3">
      <c r="A119" s="20"/>
      <c r="B119" s="17"/>
      <c r="C119" s="80" t="s">
        <v>38</v>
      </c>
      <c r="E119" s="42"/>
      <c r="F119" s="49">
        <f>F118*$F$34*-1</f>
        <v>-345.45</v>
      </c>
      <c r="G119" s="49">
        <f>G118*$F$34*-1</f>
        <v>-305.92500000000001</v>
      </c>
      <c r="H119" s="49">
        <f t="shared" ref="H119:J119" si="11">H118*$F$34*-1</f>
        <v>-257.39999999999998</v>
      </c>
      <c r="I119" s="49">
        <f t="shared" si="11"/>
        <v>-198.9</v>
      </c>
      <c r="J119" s="49">
        <f t="shared" si="11"/>
        <v>-129.6</v>
      </c>
      <c r="L119" s="19"/>
      <c r="M119" s="15"/>
    </row>
    <row r="120" spans="1:13" ht="14.4" customHeight="1" x14ac:dyDescent="0.3">
      <c r="A120" s="20"/>
      <c r="B120" s="17"/>
      <c r="C120" s="80" t="s">
        <v>78</v>
      </c>
      <c r="E120" s="42"/>
      <c r="F120" s="42">
        <v>-527</v>
      </c>
      <c r="G120" s="42">
        <v>-647</v>
      </c>
      <c r="H120" s="42">
        <v>-780</v>
      </c>
      <c r="I120" s="42">
        <v>-924</v>
      </c>
      <c r="J120" s="42">
        <v>-1080</v>
      </c>
      <c r="L120" s="19"/>
      <c r="M120" s="15"/>
    </row>
    <row r="121" spans="1:13" ht="14.4" customHeight="1" x14ac:dyDescent="0.3">
      <c r="A121" s="20"/>
      <c r="B121" s="17"/>
      <c r="C121" s="88" t="s">
        <v>79</v>
      </c>
      <c r="D121" s="50"/>
      <c r="E121" s="51">
        <v>4606</v>
      </c>
      <c r="F121" s="51">
        <f>F118+F120</f>
        <v>4079</v>
      </c>
      <c r="G121" s="51">
        <f t="shared" ref="G121:J121" si="12">G118+G120</f>
        <v>3432</v>
      </c>
      <c r="H121" s="51">
        <f t="shared" si="12"/>
        <v>2652</v>
      </c>
      <c r="I121" s="51">
        <f t="shared" si="12"/>
        <v>1728</v>
      </c>
      <c r="J121" s="51">
        <f t="shared" si="12"/>
        <v>648</v>
      </c>
      <c r="L121" s="19"/>
      <c r="M121" s="15"/>
    </row>
    <row r="122" spans="1:13" ht="14.4" customHeight="1" x14ac:dyDescent="0.3">
      <c r="A122" s="20"/>
      <c r="B122" s="17"/>
      <c r="C122" s="80"/>
      <c r="E122" s="102"/>
      <c r="F122" s="102"/>
      <c r="G122" s="102"/>
      <c r="H122" s="102"/>
      <c r="I122" s="102"/>
      <c r="J122" s="102"/>
      <c r="L122" s="19"/>
      <c r="M122" s="15"/>
    </row>
    <row r="123" spans="1:13" ht="14.4" customHeight="1" x14ac:dyDescent="0.3">
      <c r="A123" s="20"/>
      <c r="B123" s="17"/>
      <c r="C123" s="100" t="s">
        <v>6</v>
      </c>
      <c r="D123" s="101"/>
      <c r="E123" s="103"/>
      <c r="F123" s="103"/>
      <c r="G123" s="103"/>
      <c r="H123" s="103"/>
      <c r="I123" s="103"/>
      <c r="J123" s="103"/>
      <c r="L123" s="19"/>
      <c r="M123" s="15"/>
    </row>
    <row r="124" spans="1:13" ht="14.4" customHeight="1" x14ac:dyDescent="0.3">
      <c r="A124" s="20"/>
      <c r="B124" s="17"/>
      <c r="C124" s="80" t="s">
        <v>80</v>
      </c>
      <c r="E124" s="95"/>
      <c r="F124" s="95">
        <f>E127</f>
        <v>3290</v>
      </c>
      <c r="G124" s="95">
        <f>F127</f>
        <v>3290</v>
      </c>
      <c r="H124" s="95">
        <f>G127</f>
        <v>3290</v>
      </c>
      <c r="I124" s="95">
        <f>H127</f>
        <v>3290</v>
      </c>
      <c r="J124" s="95">
        <f>I127</f>
        <v>3290</v>
      </c>
      <c r="L124" s="19"/>
      <c r="M124" s="15"/>
    </row>
    <row r="125" spans="1:13" ht="14.4" customHeight="1" x14ac:dyDescent="0.3">
      <c r="A125" s="20"/>
      <c r="B125" s="17"/>
      <c r="C125" s="80" t="s">
        <v>38</v>
      </c>
      <c r="E125" s="42"/>
      <c r="F125" s="49">
        <f>F124*$F$35*-1</f>
        <v>-222.07500000000002</v>
      </c>
      <c r="G125" s="49">
        <f t="shared" ref="G125:J125" si="13">G124*$F$35*-1</f>
        <v>-222.07500000000002</v>
      </c>
      <c r="H125" s="49">
        <f t="shared" si="13"/>
        <v>-222.07500000000002</v>
      </c>
      <c r="I125" s="49">
        <f t="shared" si="13"/>
        <v>-222.07500000000002</v>
      </c>
      <c r="J125" s="49">
        <f t="shared" si="13"/>
        <v>-222.07500000000002</v>
      </c>
      <c r="K125" s="74"/>
      <c r="L125" s="19"/>
      <c r="M125" s="15"/>
    </row>
    <row r="126" spans="1:13" ht="14.4" customHeight="1" x14ac:dyDescent="0.3">
      <c r="A126" s="20"/>
      <c r="B126" s="17"/>
      <c r="C126" s="80" t="s">
        <v>78</v>
      </c>
      <c r="E126" s="42"/>
      <c r="F126" s="42">
        <v>0</v>
      </c>
      <c r="G126" s="42">
        <v>0</v>
      </c>
      <c r="H126" s="42">
        <v>0</v>
      </c>
      <c r="I126" s="42">
        <v>0</v>
      </c>
      <c r="J126" s="42">
        <v>0</v>
      </c>
      <c r="L126" s="19"/>
      <c r="M126" s="15"/>
    </row>
    <row r="127" spans="1:13" ht="14.4" customHeight="1" x14ac:dyDescent="0.3">
      <c r="A127" s="20"/>
      <c r="B127" s="17"/>
      <c r="C127" s="88" t="s">
        <v>79</v>
      </c>
      <c r="D127" s="50"/>
      <c r="E127" s="51">
        <v>3290</v>
      </c>
      <c r="F127" s="51">
        <v>3290</v>
      </c>
      <c r="G127" s="51">
        <v>3290</v>
      </c>
      <c r="H127" s="51">
        <v>3290</v>
      </c>
      <c r="I127" s="51">
        <v>3290</v>
      </c>
      <c r="J127" s="51">
        <v>3290</v>
      </c>
      <c r="K127" s="75"/>
      <c r="L127" s="19"/>
      <c r="M127" s="15"/>
    </row>
    <row r="128" spans="1:13" ht="14.4" customHeight="1" x14ac:dyDescent="0.3">
      <c r="A128" s="20"/>
      <c r="B128" s="17"/>
      <c r="C128" s="80"/>
      <c r="E128" s="102"/>
      <c r="F128" s="102"/>
      <c r="G128" s="102"/>
      <c r="H128" s="102"/>
      <c r="I128" s="102"/>
      <c r="J128" s="102"/>
      <c r="L128" s="19"/>
      <c r="M128" s="15"/>
    </row>
    <row r="129" spans="1:13" ht="14.4" customHeight="1" x14ac:dyDescent="0.3">
      <c r="A129" s="20"/>
      <c r="B129" s="17"/>
      <c r="C129" s="100" t="s">
        <v>29</v>
      </c>
      <c r="D129" s="104"/>
      <c r="E129" s="105"/>
      <c r="F129" s="105"/>
      <c r="G129" s="105"/>
      <c r="H129" s="105"/>
      <c r="I129" s="105"/>
      <c r="J129" s="105"/>
      <c r="L129" s="19"/>
      <c r="M129" s="15"/>
    </row>
    <row r="130" spans="1:13" ht="14.4" customHeight="1" x14ac:dyDescent="0.3">
      <c r="A130" s="20"/>
      <c r="B130" s="17"/>
      <c r="C130" s="80" t="s">
        <v>80</v>
      </c>
      <c r="E130" s="95"/>
      <c r="F130" s="95">
        <f>E133</f>
        <v>7896</v>
      </c>
      <c r="G130" s="95">
        <f>F133</f>
        <v>7369</v>
      </c>
      <c r="H130" s="95">
        <f>G133</f>
        <v>6722</v>
      </c>
      <c r="I130" s="95">
        <f>H133</f>
        <v>5942</v>
      </c>
      <c r="J130" s="95">
        <f>I133</f>
        <v>5018</v>
      </c>
      <c r="L130" s="19"/>
      <c r="M130" s="15"/>
    </row>
    <row r="131" spans="1:13" ht="14.4" customHeight="1" x14ac:dyDescent="0.3">
      <c r="A131" s="20"/>
      <c r="B131" s="17"/>
      <c r="C131" s="80" t="s">
        <v>38</v>
      </c>
      <c r="E131" s="42"/>
      <c r="F131" s="49">
        <f>F125+F119</f>
        <v>-567.52499999999998</v>
      </c>
      <c r="G131" s="49">
        <f t="shared" ref="G131:J131" si="14">G125+G119</f>
        <v>-528</v>
      </c>
      <c r="H131" s="49">
        <f t="shared" si="14"/>
        <v>-479.47500000000002</v>
      </c>
      <c r="I131" s="49">
        <f t="shared" si="14"/>
        <v>-420.97500000000002</v>
      </c>
      <c r="J131" s="49">
        <f t="shared" si="14"/>
        <v>-351.67500000000001</v>
      </c>
      <c r="L131" s="19"/>
      <c r="M131" s="15"/>
    </row>
    <row r="132" spans="1:13" ht="14.4" customHeight="1" x14ac:dyDescent="0.3">
      <c r="A132" s="20"/>
      <c r="B132" s="17"/>
      <c r="C132" s="80" t="s">
        <v>78</v>
      </c>
      <c r="E132" s="42"/>
      <c r="F132" s="42">
        <f>F126+F120</f>
        <v>-527</v>
      </c>
      <c r="G132" s="42">
        <f t="shared" ref="G132:J132" si="15">G126+G120</f>
        <v>-647</v>
      </c>
      <c r="H132" s="42">
        <f t="shared" si="15"/>
        <v>-780</v>
      </c>
      <c r="I132" s="42">
        <f t="shared" si="15"/>
        <v>-924</v>
      </c>
      <c r="J132" s="42">
        <f t="shared" si="15"/>
        <v>-1080</v>
      </c>
      <c r="L132" s="19"/>
      <c r="M132" s="15"/>
    </row>
    <row r="133" spans="1:13" ht="14.4" customHeight="1" x14ac:dyDescent="0.3">
      <c r="A133" s="20"/>
      <c r="B133" s="17"/>
      <c r="C133" s="88" t="s">
        <v>79</v>
      </c>
      <c r="D133" s="50"/>
      <c r="E133" s="51">
        <f>E127+E121</f>
        <v>7896</v>
      </c>
      <c r="F133" s="51">
        <f t="shared" ref="F133:J133" si="16">F127+F121</f>
        <v>7369</v>
      </c>
      <c r="G133" s="51">
        <f t="shared" si="16"/>
        <v>6722</v>
      </c>
      <c r="H133" s="51">
        <f t="shared" si="16"/>
        <v>5942</v>
      </c>
      <c r="I133" s="51">
        <f t="shared" si="16"/>
        <v>5018</v>
      </c>
      <c r="J133" s="51">
        <f t="shared" si="16"/>
        <v>3938</v>
      </c>
      <c r="L133" s="19"/>
      <c r="M133" s="15"/>
    </row>
    <row r="134" spans="1:13" ht="14.4" customHeight="1" x14ac:dyDescent="0.3">
      <c r="A134" s="20"/>
      <c r="B134" s="17"/>
      <c r="C134" s="80"/>
      <c r="L134" s="19"/>
      <c r="M134" s="15"/>
    </row>
    <row r="135" spans="1:13" ht="14.4" customHeight="1" x14ac:dyDescent="0.3">
      <c r="A135" s="20"/>
      <c r="B135" s="17"/>
      <c r="C135" s="81" t="s">
        <v>47</v>
      </c>
      <c r="D135" s="7"/>
      <c r="E135" s="8"/>
      <c r="F135" s="8"/>
      <c r="G135" s="8"/>
      <c r="H135" s="8"/>
      <c r="I135" s="8"/>
      <c r="J135" s="8"/>
      <c r="L135" s="19"/>
      <c r="M135" s="15"/>
    </row>
    <row r="136" spans="1:13" ht="14.4" customHeight="1" x14ac:dyDescent="0.3">
      <c r="A136" s="20"/>
      <c r="B136" s="17"/>
      <c r="C136" s="127"/>
      <c r="D136" s="98"/>
      <c r="E136" s="123" t="str">
        <f>$E$71</f>
        <v>FY24</v>
      </c>
      <c r="F136" s="123" t="str">
        <f>$F$71</f>
        <v>FY25</v>
      </c>
      <c r="G136" s="123" t="str">
        <f>$G$71</f>
        <v>FY26</v>
      </c>
      <c r="H136" s="123" t="str">
        <f>$H$71</f>
        <v>FY27</v>
      </c>
      <c r="I136" s="123" t="str">
        <f>$I$71</f>
        <v>FY28</v>
      </c>
      <c r="J136" s="123" t="str">
        <f>$J$71</f>
        <v>FY29</v>
      </c>
      <c r="L136" s="19"/>
      <c r="M136" s="15"/>
    </row>
    <row r="137" spans="1:13" ht="14.4" customHeight="1" x14ac:dyDescent="0.3">
      <c r="A137" s="20"/>
      <c r="B137" s="17"/>
      <c r="C137" s="126" t="s">
        <v>53</v>
      </c>
      <c r="D137" s="125"/>
      <c r="E137" s="125" t="s">
        <v>77</v>
      </c>
      <c r="F137" s="125" t="s">
        <v>77</v>
      </c>
      <c r="G137" s="125" t="s">
        <v>77</v>
      </c>
      <c r="H137" s="125" t="s">
        <v>77</v>
      </c>
      <c r="I137" s="125" t="s">
        <v>77</v>
      </c>
      <c r="J137" s="95">
        <f>J75</f>
        <v>2091</v>
      </c>
      <c r="L137" s="19"/>
      <c r="M137" s="15"/>
    </row>
    <row r="138" spans="1:13" ht="14.4" customHeight="1" x14ac:dyDescent="0.3">
      <c r="A138" s="20"/>
      <c r="B138" s="17"/>
      <c r="C138" s="89" t="s">
        <v>48</v>
      </c>
      <c r="D138" s="27"/>
      <c r="E138" s="27" t="s">
        <v>77</v>
      </c>
      <c r="F138" s="27" t="s">
        <v>77</v>
      </c>
      <c r="G138" s="27" t="s">
        <v>77</v>
      </c>
      <c r="H138" s="27" t="s">
        <v>77</v>
      </c>
      <c r="I138" s="27" t="s">
        <v>77</v>
      </c>
      <c r="J138" s="65">
        <f>F19</f>
        <v>16.5</v>
      </c>
      <c r="L138" s="19"/>
      <c r="M138" s="15"/>
    </row>
    <row r="139" spans="1:13" ht="14.4" customHeight="1" x14ac:dyDescent="0.3">
      <c r="A139" s="20"/>
      <c r="B139" s="17"/>
      <c r="C139" s="89" t="s">
        <v>22</v>
      </c>
      <c r="D139" s="27"/>
      <c r="E139" s="27" t="s">
        <v>77</v>
      </c>
      <c r="F139" s="27" t="s">
        <v>77</v>
      </c>
      <c r="G139" s="27" t="s">
        <v>77</v>
      </c>
      <c r="H139" s="27" t="s">
        <v>77</v>
      </c>
      <c r="I139" s="27" t="s">
        <v>77</v>
      </c>
      <c r="J139" s="42">
        <f>J137*J138</f>
        <v>34501.5</v>
      </c>
      <c r="L139" s="19"/>
      <c r="M139" s="15"/>
    </row>
    <row r="140" spans="1:13" ht="14.4" customHeight="1" x14ac:dyDescent="0.3">
      <c r="A140" s="20"/>
      <c r="B140" s="17"/>
      <c r="C140" s="89" t="s">
        <v>51</v>
      </c>
      <c r="D140" s="27"/>
      <c r="E140" s="27" t="s">
        <v>77</v>
      </c>
      <c r="F140" s="27" t="s">
        <v>77</v>
      </c>
      <c r="G140" s="27" t="s">
        <v>77</v>
      </c>
      <c r="H140" s="27" t="s">
        <v>77</v>
      </c>
      <c r="I140" s="27" t="s">
        <v>77</v>
      </c>
      <c r="J140" s="42">
        <f>J133-800</f>
        <v>3138</v>
      </c>
      <c r="K140" s="76" t="s">
        <v>89</v>
      </c>
      <c r="L140" s="19"/>
      <c r="M140" s="15"/>
    </row>
    <row r="141" spans="1:13" ht="14.4" customHeight="1" x14ac:dyDescent="0.3">
      <c r="A141" s="20"/>
      <c r="B141"/>
      <c r="C141" s="90" t="s">
        <v>82</v>
      </c>
      <c r="E141" s="27" t="s">
        <v>77</v>
      </c>
      <c r="F141" s="27" t="s">
        <v>77</v>
      </c>
      <c r="G141" s="27" t="s">
        <v>77</v>
      </c>
      <c r="H141" s="27" t="s">
        <v>77</v>
      </c>
      <c r="I141" s="27" t="s">
        <v>77</v>
      </c>
      <c r="J141" s="33">
        <f>J139-J140</f>
        <v>31363.5</v>
      </c>
      <c r="L141" s="19"/>
      <c r="M141" s="15"/>
    </row>
    <row r="142" spans="1:13" ht="14.4" customHeight="1" x14ac:dyDescent="0.3">
      <c r="A142" s="20"/>
      <c r="B142" s="17"/>
      <c r="C142" s="90" t="s">
        <v>81</v>
      </c>
      <c r="E142" s="27" t="s">
        <v>77</v>
      </c>
      <c r="F142" s="27" t="s">
        <v>77</v>
      </c>
      <c r="G142" s="27" t="s">
        <v>77</v>
      </c>
      <c r="H142" s="27" t="s">
        <v>77</v>
      </c>
      <c r="I142" s="27" t="s">
        <v>77</v>
      </c>
      <c r="J142" s="40">
        <v>1</v>
      </c>
      <c r="K142" s="76" t="s">
        <v>87</v>
      </c>
      <c r="L142" s="19"/>
      <c r="M142" s="15"/>
    </row>
    <row r="143" spans="1:13" ht="14.4" customHeight="1" x14ac:dyDescent="0.3">
      <c r="A143" s="20"/>
      <c r="B143" s="17"/>
      <c r="C143" s="83" t="s">
        <v>83</v>
      </c>
      <c r="D143" s="43"/>
      <c r="E143" s="27" t="s">
        <v>77</v>
      </c>
      <c r="F143" s="27" t="s">
        <v>77</v>
      </c>
      <c r="G143" s="27" t="s">
        <v>77</v>
      </c>
      <c r="H143" s="27" t="s">
        <v>77</v>
      </c>
      <c r="I143" s="27" t="s">
        <v>77</v>
      </c>
      <c r="J143" s="42">
        <f>J141*J142</f>
        <v>31363.5</v>
      </c>
      <c r="L143" s="19"/>
      <c r="M143" s="15"/>
    </row>
    <row r="144" spans="1:13" ht="14.4" customHeight="1" x14ac:dyDescent="0.3">
      <c r="A144" s="20"/>
      <c r="B144" s="17"/>
      <c r="C144" s="89"/>
      <c r="D144" s="49"/>
      <c r="E144" s="49"/>
      <c r="F144" s="49"/>
      <c r="G144" s="49"/>
      <c r="H144" s="49"/>
      <c r="I144" s="49"/>
      <c r="J144" s="49"/>
      <c r="L144" s="19"/>
      <c r="M144" s="15"/>
    </row>
    <row r="145" spans="1:98" ht="14.4" customHeight="1" x14ac:dyDescent="0.3">
      <c r="A145" s="20"/>
      <c r="B145" s="17"/>
      <c r="C145" s="89" t="s">
        <v>49</v>
      </c>
      <c r="D145" s="27"/>
      <c r="E145" s="43">
        <v>13054</v>
      </c>
      <c r="F145" s="27" t="s">
        <v>77</v>
      </c>
      <c r="G145" s="27" t="s">
        <v>77</v>
      </c>
      <c r="H145" s="27" t="s">
        <v>77</v>
      </c>
      <c r="I145" s="27" t="s">
        <v>77</v>
      </c>
      <c r="J145" s="49"/>
      <c r="L145" s="19"/>
      <c r="M145" s="15"/>
    </row>
    <row r="146" spans="1:98" ht="14.4" customHeight="1" x14ac:dyDescent="0.3">
      <c r="A146" s="20"/>
      <c r="B146" s="17"/>
      <c r="C146" s="106"/>
      <c r="D146" s="99"/>
      <c r="E146" s="107"/>
      <c r="F146" s="107"/>
      <c r="G146" s="107"/>
      <c r="H146" s="107"/>
      <c r="I146" s="28"/>
      <c r="J146" s="108"/>
      <c r="L146" s="19"/>
      <c r="M146" s="15"/>
    </row>
    <row r="147" spans="1:98" ht="14.4" customHeight="1" x14ac:dyDescent="0.3">
      <c r="A147" s="20"/>
      <c r="B147" s="17"/>
      <c r="C147" s="109" t="s">
        <v>50</v>
      </c>
      <c r="D147" s="110"/>
      <c r="E147" s="110"/>
      <c r="F147" s="110"/>
      <c r="G147" s="110"/>
      <c r="H147" s="110"/>
      <c r="I147" s="111"/>
      <c r="J147" s="117">
        <f>J143/E145</f>
        <v>2.4025969051631684</v>
      </c>
      <c r="K147" s="71"/>
      <c r="L147" s="19"/>
      <c r="M147" s="15"/>
    </row>
    <row r="148" spans="1:98" ht="14.4" customHeight="1" x14ac:dyDescent="0.3">
      <c r="A148" s="20"/>
      <c r="B148" s="17"/>
      <c r="C148" s="112" t="s">
        <v>47</v>
      </c>
      <c r="D148" s="113"/>
      <c r="E148" s="113"/>
      <c r="F148" s="114"/>
      <c r="G148" s="113"/>
      <c r="H148" s="113"/>
      <c r="I148" s="115"/>
      <c r="J148" s="118">
        <f>((J147)^0.2)-1</f>
        <v>0.19161560694008739</v>
      </c>
      <c r="K148" s="71"/>
      <c r="L148" s="19"/>
      <c r="M148" s="15"/>
    </row>
    <row r="149" spans="1:98" ht="14.4" customHeight="1" x14ac:dyDescent="0.3">
      <c r="A149" s="44"/>
      <c r="B149" s="45"/>
      <c r="C149" s="80"/>
      <c r="L149" s="19"/>
      <c r="M149" s="15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</row>
    <row r="150" spans="1:98" x14ac:dyDescent="0.3">
      <c r="A150" s="44"/>
      <c r="B150" s="45"/>
      <c r="C150" s="91"/>
      <c r="L150" s="19"/>
      <c r="M150" s="15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</row>
    <row r="151" spans="1:98" ht="6.75" customHeight="1" x14ac:dyDescent="0.3">
      <c r="A151" s="44"/>
      <c r="B151" s="44"/>
      <c r="C151" s="47"/>
      <c r="D151" s="47"/>
      <c r="E151" s="47"/>
      <c r="F151" s="47"/>
      <c r="G151" s="47"/>
      <c r="H151" s="47"/>
      <c r="I151" s="47"/>
      <c r="J151" s="47"/>
      <c r="K151" s="47"/>
      <c r="L151" s="66"/>
      <c r="M151" s="15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</row>
    <row r="152" spans="1:98" s="16" customFormat="1" ht="14.4" customHeight="1" x14ac:dyDescent="0.3">
      <c r="A152" s="20"/>
      <c r="B152" s="20"/>
      <c r="L152" s="44"/>
    </row>
    <row r="153" spans="1:98" s="16" customFormat="1" ht="14.4" customHeight="1" x14ac:dyDescent="0.3">
      <c r="A153" s="20"/>
      <c r="B153" s="20"/>
      <c r="L153" s="44"/>
    </row>
    <row r="154" spans="1:98" s="16" customFormat="1" ht="14.4" customHeight="1" x14ac:dyDescent="0.3">
      <c r="A154" s="20"/>
      <c r="B154" s="20"/>
      <c r="L154" s="44"/>
    </row>
    <row r="155" spans="1:98" s="16" customFormat="1" ht="14.4" customHeight="1" x14ac:dyDescent="0.3">
      <c r="A155" s="20"/>
      <c r="B155" s="20"/>
      <c r="L155" s="44"/>
    </row>
    <row r="156" spans="1:98" s="16" customFormat="1" ht="14.4" customHeight="1" x14ac:dyDescent="0.3">
      <c r="A156" s="20"/>
      <c r="B156" s="20"/>
      <c r="L156" s="44"/>
    </row>
    <row r="157" spans="1:98" s="16" customFormat="1" ht="14.4" customHeight="1" x14ac:dyDescent="0.3">
      <c r="A157" s="20"/>
      <c r="B157" s="20"/>
      <c r="L157" s="44"/>
    </row>
    <row r="158" spans="1:98" s="16" customFormat="1" ht="14.4" customHeight="1" x14ac:dyDescent="0.3">
      <c r="A158" s="20"/>
      <c r="B158" s="20"/>
      <c r="L158" s="44"/>
    </row>
    <row r="159" spans="1:98" s="16" customFormat="1" ht="14.4" customHeight="1" x14ac:dyDescent="0.3">
      <c r="A159" s="20"/>
      <c r="B159" s="20"/>
      <c r="L159" s="44"/>
    </row>
    <row r="160" spans="1:98" s="16" customFormat="1" ht="14.4" customHeight="1" x14ac:dyDescent="0.3">
      <c r="A160" s="20"/>
      <c r="B160" s="20"/>
      <c r="L160" s="44"/>
    </row>
    <row r="161" spans="1:12" s="16" customFormat="1" ht="14.4" customHeight="1" x14ac:dyDescent="0.3">
      <c r="A161" s="20"/>
      <c r="B161" s="20"/>
      <c r="L161" s="44"/>
    </row>
    <row r="162" spans="1:12" s="16" customFormat="1" ht="14.4" customHeight="1" x14ac:dyDescent="0.3">
      <c r="A162" s="20"/>
      <c r="B162" s="20"/>
      <c r="L162" s="44"/>
    </row>
    <row r="163" spans="1:12" s="16" customFormat="1" ht="14.4" customHeight="1" x14ac:dyDescent="0.3">
      <c r="A163" s="20"/>
      <c r="B163" s="20"/>
      <c r="L163" s="44"/>
    </row>
    <row r="164" spans="1:12" s="16" customFormat="1" ht="14.4" customHeight="1" x14ac:dyDescent="0.3">
      <c r="A164" s="20"/>
      <c r="B164" s="20"/>
      <c r="L164" s="44"/>
    </row>
    <row r="165" spans="1:12" s="16" customFormat="1" ht="14.4" customHeight="1" x14ac:dyDescent="0.3">
      <c r="A165" s="20"/>
      <c r="B165" s="20"/>
      <c r="L165" s="44"/>
    </row>
    <row r="166" spans="1:12" s="16" customFormat="1" ht="14.4" customHeight="1" x14ac:dyDescent="0.3">
      <c r="A166" s="20"/>
      <c r="B166" s="20"/>
      <c r="L166" s="44"/>
    </row>
    <row r="167" spans="1:12" s="16" customFormat="1" ht="14.4" customHeight="1" x14ac:dyDescent="0.3">
      <c r="A167" s="20"/>
      <c r="B167" s="20"/>
      <c r="L167" s="44"/>
    </row>
    <row r="168" spans="1:12" s="16" customFormat="1" ht="14.4" customHeight="1" x14ac:dyDescent="0.3">
      <c r="A168" s="20"/>
      <c r="B168" s="20"/>
      <c r="L168" s="44"/>
    </row>
    <row r="169" spans="1:12" s="16" customFormat="1" ht="14.4" customHeight="1" x14ac:dyDescent="0.3">
      <c r="A169" s="20"/>
      <c r="B169" s="20"/>
      <c r="L169" s="44"/>
    </row>
    <row r="170" spans="1:12" s="16" customFormat="1" ht="14.4" customHeight="1" x14ac:dyDescent="0.3">
      <c r="A170" s="20"/>
      <c r="B170" s="20"/>
      <c r="L170" s="44"/>
    </row>
    <row r="171" spans="1:12" s="16" customFormat="1" ht="14.4" customHeight="1" x14ac:dyDescent="0.3">
      <c r="A171" s="20"/>
      <c r="B171" s="20"/>
      <c r="L171" s="44"/>
    </row>
    <row r="172" spans="1:12" s="16" customFormat="1" ht="14.4" customHeight="1" x14ac:dyDescent="0.3">
      <c r="A172" s="20"/>
      <c r="B172" s="20"/>
      <c r="L172" s="44"/>
    </row>
    <row r="173" spans="1:12" s="16" customFormat="1" ht="14.4" customHeight="1" x14ac:dyDescent="0.3">
      <c r="A173" s="20"/>
      <c r="B173" s="20"/>
      <c r="L173" s="44"/>
    </row>
    <row r="174" spans="1:12" s="16" customFormat="1" ht="14.4" customHeight="1" x14ac:dyDescent="0.3">
      <c r="A174" s="20"/>
      <c r="B174" s="20"/>
      <c r="L174" s="44"/>
    </row>
    <row r="175" spans="1:12" s="16" customFormat="1" ht="14.4" customHeight="1" x14ac:dyDescent="0.3">
      <c r="A175" s="20"/>
      <c r="B175" s="20"/>
      <c r="L175" s="44"/>
    </row>
    <row r="176" spans="1:12" s="16" customFormat="1" ht="14.4" customHeight="1" x14ac:dyDescent="0.3">
      <c r="A176" s="20"/>
      <c r="B176" s="20"/>
      <c r="L176" s="44"/>
    </row>
    <row r="177" spans="1:12" s="16" customFormat="1" ht="14.4" customHeight="1" x14ac:dyDescent="0.3">
      <c r="A177" s="20"/>
      <c r="B177" s="20"/>
      <c r="L177" s="44"/>
    </row>
    <row r="178" spans="1:12" s="16" customFormat="1" ht="14.4" customHeight="1" x14ac:dyDescent="0.3">
      <c r="A178" s="20"/>
      <c r="B178" s="20"/>
      <c r="L178" s="44"/>
    </row>
    <row r="179" spans="1:12" s="16" customFormat="1" ht="14.4" customHeight="1" x14ac:dyDescent="0.3">
      <c r="A179" s="20"/>
      <c r="B179" s="20"/>
      <c r="L179" s="44"/>
    </row>
    <row r="180" spans="1:12" s="16" customFormat="1" ht="14.4" customHeight="1" x14ac:dyDescent="0.3">
      <c r="A180" s="20"/>
      <c r="B180" s="20"/>
      <c r="L180" s="44"/>
    </row>
    <row r="181" spans="1:12" s="16" customFormat="1" ht="14.4" customHeight="1" x14ac:dyDescent="0.3">
      <c r="A181" s="20"/>
      <c r="B181" s="20"/>
      <c r="L181" s="44"/>
    </row>
    <row r="182" spans="1:12" s="16" customFormat="1" ht="14.4" customHeight="1" x14ac:dyDescent="0.3">
      <c r="A182" s="20"/>
      <c r="B182" s="20"/>
      <c r="L182" s="44"/>
    </row>
    <row r="183" spans="1:12" s="16" customFormat="1" ht="14.4" customHeight="1" x14ac:dyDescent="0.3">
      <c r="A183" s="20"/>
      <c r="B183" s="20"/>
      <c r="L183" s="44"/>
    </row>
    <row r="184" spans="1:12" s="16" customFormat="1" ht="14.4" customHeight="1" x14ac:dyDescent="0.3">
      <c r="A184" s="20"/>
      <c r="B184" s="20"/>
      <c r="L184" s="44"/>
    </row>
    <row r="185" spans="1:12" s="16" customFormat="1" ht="14.4" customHeight="1" x14ac:dyDescent="0.3">
      <c r="A185" s="20"/>
      <c r="B185" s="20"/>
      <c r="L185" s="44"/>
    </row>
    <row r="186" spans="1:12" s="16" customFormat="1" ht="14.4" customHeight="1" x14ac:dyDescent="0.3">
      <c r="A186" s="20"/>
      <c r="B186" s="20"/>
      <c r="L186" s="44"/>
    </row>
    <row r="187" spans="1:12" s="16" customFormat="1" ht="14.4" customHeight="1" x14ac:dyDescent="0.3">
      <c r="A187" s="20"/>
      <c r="B187" s="20"/>
      <c r="L187" s="44"/>
    </row>
    <row r="188" spans="1:12" s="16" customFormat="1" ht="14.4" customHeight="1" x14ac:dyDescent="0.3">
      <c r="A188" s="20"/>
      <c r="B188" s="20"/>
      <c r="L188" s="44"/>
    </row>
    <row r="189" spans="1:12" s="16" customFormat="1" ht="14.4" customHeight="1" x14ac:dyDescent="0.3">
      <c r="A189" s="20"/>
      <c r="B189" s="20"/>
      <c r="L189" s="44"/>
    </row>
    <row r="190" spans="1:12" s="16" customFormat="1" ht="14.4" customHeight="1" x14ac:dyDescent="0.3">
      <c r="A190" s="20"/>
      <c r="B190" s="20"/>
      <c r="L190" s="44"/>
    </row>
    <row r="191" spans="1:12" s="16" customFormat="1" ht="14.4" customHeight="1" x14ac:dyDescent="0.3">
      <c r="A191" s="20"/>
      <c r="B191" s="20"/>
      <c r="L191" s="44"/>
    </row>
    <row r="192" spans="1:12" s="16" customFormat="1" ht="14.4" customHeight="1" x14ac:dyDescent="0.3">
      <c r="A192" s="20"/>
      <c r="B192" s="20"/>
      <c r="L192" s="44"/>
    </row>
    <row r="193" spans="1:12" s="16" customFormat="1" ht="14.4" customHeight="1" x14ac:dyDescent="0.3">
      <c r="A193" s="20"/>
      <c r="B193" s="20"/>
      <c r="L193" s="44"/>
    </row>
    <row r="194" spans="1:12" s="16" customFormat="1" ht="14.4" customHeight="1" x14ac:dyDescent="0.3">
      <c r="A194" s="20"/>
      <c r="B194" s="20"/>
      <c r="L194" s="44"/>
    </row>
    <row r="195" spans="1:12" s="16" customFormat="1" ht="14.4" customHeight="1" x14ac:dyDescent="0.3">
      <c r="A195" s="20"/>
      <c r="B195" s="20"/>
      <c r="L195" s="44"/>
    </row>
    <row r="196" spans="1:12" s="16" customFormat="1" ht="14.4" customHeight="1" x14ac:dyDescent="0.3">
      <c r="A196" s="20"/>
      <c r="B196" s="20"/>
      <c r="L196" s="44"/>
    </row>
    <row r="197" spans="1:12" s="16" customFormat="1" ht="14.4" customHeight="1" x14ac:dyDescent="0.3">
      <c r="A197" s="20"/>
      <c r="B197" s="20"/>
      <c r="L197" s="44"/>
    </row>
    <row r="198" spans="1:12" s="16" customFormat="1" ht="14.4" customHeight="1" x14ac:dyDescent="0.3">
      <c r="A198" s="20"/>
      <c r="B198" s="20"/>
      <c r="L198" s="44"/>
    </row>
    <row r="199" spans="1:12" s="16" customFormat="1" ht="14.4" customHeight="1" x14ac:dyDescent="0.3">
      <c r="A199" s="20"/>
      <c r="B199" s="20"/>
      <c r="L199" s="44"/>
    </row>
    <row r="200" spans="1:12" s="16" customFormat="1" ht="14.4" customHeight="1" x14ac:dyDescent="0.3">
      <c r="A200" s="20"/>
      <c r="B200" s="20"/>
      <c r="L200" s="44"/>
    </row>
    <row r="201" spans="1:12" s="16" customFormat="1" x14ac:dyDescent="0.3">
      <c r="A201" s="20"/>
      <c r="B201" s="20"/>
      <c r="L201" s="44"/>
    </row>
    <row r="202" spans="1:12" s="16" customFormat="1" x14ac:dyDescent="0.3">
      <c r="A202" s="20"/>
      <c r="B202" s="20"/>
      <c r="L202" s="44"/>
    </row>
    <row r="203" spans="1:12" s="16" customFormat="1" x14ac:dyDescent="0.3">
      <c r="A203" s="20"/>
      <c r="B203" s="20"/>
      <c r="L203" s="44"/>
    </row>
    <row r="204" spans="1:12" s="16" customFormat="1" x14ac:dyDescent="0.3">
      <c r="A204" s="20"/>
      <c r="B204" s="20"/>
      <c r="L204" s="44"/>
    </row>
    <row r="205" spans="1:12" s="16" customFormat="1" x14ac:dyDescent="0.3">
      <c r="A205" s="20"/>
      <c r="B205" s="20"/>
      <c r="L205" s="44"/>
    </row>
    <row r="206" spans="1:12" s="16" customFormat="1" x14ac:dyDescent="0.3">
      <c r="A206" s="20"/>
      <c r="B206" s="20"/>
      <c r="L206" s="44"/>
    </row>
    <row r="207" spans="1:12" s="16" customFormat="1" x14ac:dyDescent="0.3">
      <c r="A207" s="20"/>
      <c r="B207" s="20"/>
      <c r="L207" s="44"/>
    </row>
    <row r="208" spans="1:12" s="16" customFormat="1" x14ac:dyDescent="0.3">
      <c r="A208" s="20"/>
      <c r="B208" s="20"/>
      <c r="L208" s="44"/>
    </row>
    <row r="209" spans="1:12" s="16" customFormat="1" x14ac:dyDescent="0.3">
      <c r="A209" s="20"/>
      <c r="B209" s="20"/>
      <c r="L209" s="44"/>
    </row>
    <row r="210" spans="1:12" s="16" customFormat="1" x14ac:dyDescent="0.3">
      <c r="A210" s="20"/>
      <c r="B210" s="20"/>
      <c r="L210" s="44"/>
    </row>
    <row r="211" spans="1:12" s="16" customFormat="1" x14ac:dyDescent="0.3">
      <c r="A211" s="20"/>
      <c r="B211" s="20"/>
      <c r="L211" s="44"/>
    </row>
    <row r="212" spans="1:12" s="16" customFormat="1" x14ac:dyDescent="0.3">
      <c r="A212" s="20"/>
      <c r="B212" s="20"/>
      <c r="L212" s="44"/>
    </row>
    <row r="213" spans="1:12" s="16" customFormat="1" x14ac:dyDescent="0.3">
      <c r="A213" s="20"/>
      <c r="B213" s="20"/>
      <c r="L213" s="44"/>
    </row>
    <row r="214" spans="1:12" s="16" customFormat="1" x14ac:dyDescent="0.3">
      <c r="A214" s="20"/>
      <c r="B214" s="20"/>
      <c r="L214" s="44"/>
    </row>
    <row r="215" spans="1:12" s="16" customFormat="1" x14ac:dyDescent="0.3">
      <c r="A215" s="20"/>
      <c r="B215" s="20"/>
      <c r="L215" s="44"/>
    </row>
    <row r="216" spans="1:12" s="16" customFormat="1" x14ac:dyDescent="0.3">
      <c r="A216" s="20"/>
      <c r="B216" s="20"/>
      <c r="L216" s="44"/>
    </row>
    <row r="217" spans="1:12" s="16" customFormat="1" x14ac:dyDescent="0.3">
      <c r="A217" s="20"/>
      <c r="B217" s="20"/>
      <c r="L217" s="44"/>
    </row>
    <row r="218" spans="1:12" s="16" customFormat="1" x14ac:dyDescent="0.3">
      <c r="A218" s="20"/>
      <c r="B218" s="20"/>
      <c r="L218" s="44"/>
    </row>
    <row r="219" spans="1:12" s="16" customFormat="1" x14ac:dyDescent="0.3">
      <c r="A219" s="20"/>
      <c r="B219" s="20"/>
      <c r="L219" s="44"/>
    </row>
    <row r="220" spans="1:12" s="16" customFormat="1" x14ac:dyDescent="0.3">
      <c r="A220" s="20"/>
      <c r="B220" s="20"/>
      <c r="L220" s="44"/>
    </row>
    <row r="221" spans="1:12" s="16" customFormat="1" x14ac:dyDescent="0.3">
      <c r="A221" s="20"/>
      <c r="B221" s="20"/>
      <c r="L221" s="44"/>
    </row>
    <row r="222" spans="1:12" s="16" customFormat="1" x14ac:dyDescent="0.3">
      <c r="A222" s="20"/>
      <c r="B222" s="20"/>
      <c r="L222" s="44"/>
    </row>
    <row r="223" spans="1:12" s="16" customFormat="1" x14ac:dyDescent="0.3">
      <c r="A223" s="20"/>
      <c r="B223" s="20"/>
      <c r="L223" s="44"/>
    </row>
    <row r="224" spans="1:12" s="16" customFormat="1" x14ac:dyDescent="0.3">
      <c r="A224" s="20"/>
      <c r="B224" s="20"/>
      <c r="L224" s="44"/>
    </row>
    <row r="225" spans="1:12" s="16" customFormat="1" x14ac:dyDescent="0.3">
      <c r="A225" s="20"/>
      <c r="B225" s="20"/>
      <c r="L225" s="44"/>
    </row>
    <row r="226" spans="1:12" s="16" customFormat="1" x14ac:dyDescent="0.3">
      <c r="A226" s="20"/>
      <c r="B226" s="20"/>
      <c r="L226" s="44"/>
    </row>
    <row r="227" spans="1:12" s="16" customFormat="1" x14ac:dyDescent="0.3">
      <c r="A227" s="20"/>
      <c r="B227" s="20"/>
      <c r="L227" s="44"/>
    </row>
    <row r="228" spans="1:12" s="16" customFormat="1" x14ac:dyDescent="0.3">
      <c r="A228" s="20"/>
      <c r="B228" s="20"/>
      <c r="L228" s="44"/>
    </row>
    <row r="229" spans="1:12" s="16" customFormat="1" x14ac:dyDescent="0.3">
      <c r="A229" s="20"/>
      <c r="B229" s="20"/>
      <c r="L229" s="44"/>
    </row>
    <row r="230" spans="1:12" s="16" customFormat="1" x14ac:dyDescent="0.3">
      <c r="A230" s="20"/>
      <c r="B230" s="20"/>
      <c r="L230" s="44"/>
    </row>
    <row r="231" spans="1:12" s="16" customFormat="1" x14ac:dyDescent="0.3">
      <c r="A231" s="20"/>
      <c r="B231" s="20"/>
      <c r="L231" s="44"/>
    </row>
    <row r="232" spans="1:12" s="16" customFormat="1" x14ac:dyDescent="0.3">
      <c r="A232" s="20"/>
      <c r="B232" s="20"/>
      <c r="L232" s="44"/>
    </row>
    <row r="233" spans="1:12" s="16" customFormat="1" x14ac:dyDescent="0.3">
      <c r="A233" s="20"/>
      <c r="B233" s="20"/>
      <c r="L233" s="44"/>
    </row>
    <row r="234" spans="1:12" s="16" customFormat="1" x14ac:dyDescent="0.3">
      <c r="A234" s="20"/>
      <c r="B234" s="20"/>
      <c r="L234" s="44"/>
    </row>
    <row r="235" spans="1:12" s="16" customFormat="1" x14ac:dyDescent="0.3">
      <c r="A235" s="20"/>
      <c r="B235" s="20"/>
      <c r="L235" s="44"/>
    </row>
    <row r="236" spans="1:12" s="16" customFormat="1" x14ac:dyDescent="0.3">
      <c r="A236" s="20"/>
      <c r="B236" s="20"/>
      <c r="L236" s="44"/>
    </row>
    <row r="237" spans="1:12" s="16" customFormat="1" x14ac:dyDescent="0.3">
      <c r="A237" s="20"/>
      <c r="B237" s="20"/>
      <c r="L237" s="44"/>
    </row>
    <row r="238" spans="1:12" s="16" customFormat="1" x14ac:dyDescent="0.3">
      <c r="A238" s="20"/>
      <c r="B238" s="20"/>
      <c r="L238" s="44"/>
    </row>
    <row r="239" spans="1:12" s="16" customFormat="1" x14ac:dyDescent="0.3">
      <c r="A239" s="20"/>
      <c r="B239" s="20"/>
      <c r="L239" s="44"/>
    </row>
    <row r="240" spans="1:12" s="16" customFormat="1" x14ac:dyDescent="0.3">
      <c r="A240" s="20"/>
      <c r="B240" s="20"/>
      <c r="L240" s="44"/>
    </row>
    <row r="241" spans="1:12" s="16" customFormat="1" x14ac:dyDescent="0.3">
      <c r="A241" s="20"/>
      <c r="B241" s="20"/>
      <c r="L241" s="44"/>
    </row>
    <row r="242" spans="1:12" s="16" customFormat="1" x14ac:dyDescent="0.3">
      <c r="A242" s="20"/>
      <c r="B242" s="20"/>
      <c r="L242" s="44"/>
    </row>
    <row r="243" spans="1:12" s="16" customFormat="1" x14ac:dyDescent="0.3">
      <c r="A243" s="20"/>
      <c r="B243" s="20"/>
      <c r="L243" s="44"/>
    </row>
    <row r="244" spans="1:12" s="16" customFormat="1" x14ac:dyDescent="0.3">
      <c r="A244" s="20"/>
      <c r="B244" s="20"/>
      <c r="L244" s="44"/>
    </row>
    <row r="245" spans="1:12" s="16" customFormat="1" x14ac:dyDescent="0.3">
      <c r="A245" s="20"/>
      <c r="B245" s="20"/>
      <c r="L245" s="44"/>
    </row>
    <row r="246" spans="1:12" s="16" customFormat="1" x14ac:dyDescent="0.3">
      <c r="A246" s="20"/>
      <c r="B246" s="20"/>
      <c r="L246" s="44"/>
    </row>
    <row r="247" spans="1:12" s="16" customFormat="1" x14ac:dyDescent="0.3">
      <c r="A247" s="20"/>
      <c r="B247" s="20"/>
      <c r="L247" s="44"/>
    </row>
    <row r="248" spans="1:12" s="16" customFormat="1" x14ac:dyDescent="0.3">
      <c r="A248" s="20"/>
      <c r="B248" s="20"/>
      <c r="L248" s="44"/>
    </row>
    <row r="249" spans="1:12" s="16" customFormat="1" x14ac:dyDescent="0.3">
      <c r="A249" s="20"/>
      <c r="B249" s="20"/>
      <c r="L249" s="44"/>
    </row>
    <row r="250" spans="1:12" s="16" customFormat="1" x14ac:dyDescent="0.3">
      <c r="A250" s="20"/>
      <c r="B250" s="20"/>
      <c r="L250" s="44"/>
    </row>
    <row r="251" spans="1:12" s="16" customFormat="1" x14ac:dyDescent="0.3">
      <c r="A251" s="20"/>
      <c r="B251" s="20"/>
      <c r="L251" s="44"/>
    </row>
    <row r="252" spans="1:12" s="16" customFormat="1" x14ac:dyDescent="0.3">
      <c r="A252" s="20"/>
      <c r="B252" s="20"/>
      <c r="L252" s="44"/>
    </row>
    <row r="253" spans="1:12" s="16" customFormat="1" x14ac:dyDescent="0.3">
      <c r="A253" s="20"/>
      <c r="B253" s="20"/>
      <c r="L253" s="44"/>
    </row>
    <row r="254" spans="1:12" s="16" customFormat="1" x14ac:dyDescent="0.3">
      <c r="A254" s="20"/>
      <c r="B254" s="20"/>
      <c r="L254" s="44"/>
    </row>
    <row r="255" spans="1:12" s="16" customFormat="1" x14ac:dyDescent="0.3">
      <c r="A255" s="20"/>
      <c r="B255" s="20"/>
      <c r="L255" s="44"/>
    </row>
    <row r="256" spans="1:12" s="16" customFormat="1" x14ac:dyDescent="0.3">
      <c r="A256" s="20"/>
      <c r="B256" s="20"/>
      <c r="L256" s="44"/>
    </row>
    <row r="257" spans="1:12" s="16" customFormat="1" x14ac:dyDescent="0.3">
      <c r="A257" s="20"/>
      <c r="B257" s="20"/>
      <c r="L257" s="44"/>
    </row>
    <row r="258" spans="1:12" s="16" customFormat="1" x14ac:dyDescent="0.3">
      <c r="A258" s="20"/>
      <c r="B258" s="20"/>
      <c r="L258" s="44"/>
    </row>
    <row r="259" spans="1:12" s="16" customFormat="1" x14ac:dyDescent="0.3">
      <c r="A259" s="20"/>
      <c r="B259" s="20"/>
      <c r="L259" s="44"/>
    </row>
    <row r="260" spans="1:12" s="16" customFormat="1" x14ac:dyDescent="0.3">
      <c r="A260" s="20"/>
      <c r="B260" s="20"/>
      <c r="L260" s="44"/>
    </row>
    <row r="261" spans="1:12" s="16" customFormat="1" x14ac:dyDescent="0.3">
      <c r="A261" s="20"/>
      <c r="B261" s="20"/>
      <c r="L261" s="44"/>
    </row>
    <row r="262" spans="1:12" s="16" customFormat="1" x14ac:dyDescent="0.3">
      <c r="A262" s="20"/>
      <c r="B262" s="20"/>
      <c r="L262" s="44"/>
    </row>
    <row r="263" spans="1:12" s="16" customFormat="1" x14ac:dyDescent="0.3">
      <c r="A263" s="20"/>
      <c r="B263" s="20"/>
      <c r="L263" s="44"/>
    </row>
    <row r="264" spans="1:12" s="16" customFormat="1" x14ac:dyDescent="0.3">
      <c r="A264" s="20"/>
      <c r="B264" s="20"/>
      <c r="L264" s="44"/>
    </row>
    <row r="265" spans="1:12" s="16" customFormat="1" x14ac:dyDescent="0.3">
      <c r="A265" s="20"/>
      <c r="B265" s="20"/>
      <c r="L265" s="44"/>
    </row>
    <row r="266" spans="1:12" s="16" customFormat="1" x14ac:dyDescent="0.3">
      <c r="A266" s="20"/>
      <c r="B266" s="20"/>
      <c r="L266" s="44"/>
    </row>
    <row r="267" spans="1:12" s="16" customFormat="1" x14ac:dyDescent="0.3">
      <c r="A267" s="20"/>
      <c r="B267" s="20"/>
      <c r="L267" s="44"/>
    </row>
    <row r="268" spans="1:12" s="16" customFormat="1" x14ac:dyDescent="0.3">
      <c r="A268" s="20"/>
      <c r="B268" s="20"/>
      <c r="L268" s="44"/>
    </row>
    <row r="269" spans="1:12" s="16" customFormat="1" x14ac:dyDescent="0.3">
      <c r="A269" s="20"/>
      <c r="B269" s="20"/>
      <c r="L269" s="44"/>
    </row>
    <row r="270" spans="1:12" s="16" customFormat="1" x14ac:dyDescent="0.3">
      <c r="A270" s="20"/>
      <c r="B270" s="20"/>
      <c r="L270" s="44"/>
    </row>
    <row r="271" spans="1:12" s="16" customFormat="1" x14ac:dyDescent="0.3">
      <c r="A271" s="20"/>
      <c r="B271" s="20"/>
      <c r="L271" s="44"/>
    </row>
    <row r="272" spans="1:12" s="16" customFormat="1" x14ac:dyDescent="0.3">
      <c r="A272" s="20"/>
      <c r="B272" s="20"/>
      <c r="L272" s="44"/>
    </row>
    <row r="273" spans="1:12" s="16" customFormat="1" x14ac:dyDescent="0.3">
      <c r="A273" s="20"/>
      <c r="B273" s="20"/>
      <c r="L273" s="44"/>
    </row>
    <row r="274" spans="1:12" s="16" customFormat="1" x14ac:dyDescent="0.3">
      <c r="A274" s="20"/>
      <c r="B274" s="20"/>
      <c r="L274" s="44"/>
    </row>
    <row r="275" spans="1:12" s="16" customFormat="1" x14ac:dyDescent="0.3">
      <c r="A275" s="20"/>
      <c r="B275" s="20"/>
      <c r="L275" s="44"/>
    </row>
    <row r="276" spans="1:12" s="16" customFormat="1" x14ac:dyDescent="0.3">
      <c r="A276" s="20"/>
      <c r="B276" s="20"/>
      <c r="L276" s="44"/>
    </row>
    <row r="277" spans="1:12" s="16" customFormat="1" x14ac:dyDescent="0.3">
      <c r="A277" s="20"/>
      <c r="B277" s="20"/>
      <c r="L277" s="44"/>
    </row>
    <row r="278" spans="1:12" s="16" customFormat="1" x14ac:dyDescent="0.3">
      <c r="A278" s="20"/>
      <c r="B278" s="20"/>
      <c r="L278" s="44"/>
    </row>
    <row r="279" spans="1:12" s="16" customFormat="1" x14ac:dyDescent="0.3">
      <c r="A279" s="20"/>
      <c r="B279" s="20"/>
      <c r="L279" s="44"/>
    </row>
    <row r="280" spans="1:12" s="16" customFormat="1" x14ac:dyDescent="0.3">
      <c r="A280" s="20"/>
      <c r="B280" s="20"/>
      <c r="L280" s="44"/>
    </row>
    <row r="281" spans="1:12" s="16" customFormat="1" x14ac:dyDescent="0.3">
      <c r="A281" s="20"/>
      <c r="B281" s="20"/>
      <c r="L281" s="44"/>
    </row>
    <row r="282" spans="1:12" s="16" customFormat="1" x14ac:dyDescent="0.3">
      <c r="A282" s="20"/>
      <c r="B282" s="20"/>
      <c r="L282" s="44"/>
    </row>
    <row r="283" spans="1:12" s="16" customFormat="1" x14ac:dyDescent="0.3">
      <c r="A283" s="20"/>
      <c r="B283" s="20"/>
      <c r="L283" s="44"/>
    </row>
    <row r="284" spans="1:12" s="16" customFormat="1" x14ac:dyDescent="0.3">
      <c r="A284" s="20"/>
      <c r="B284" s="20"/>
      <c r="L284" s="44"/>
    </row>
    <row r="285" spans="1:12" s="16" customFormat="1" x14ac:dyDescent="0.3">
      <c r="A285" s="20"/>
      <c r="B285" s="20"/>
      <c r="L285" s="44"/>
    </row>
    <row r="286" spans="1:12" s="16" customFormat="1" x14ac:dyDescent="0.3">
      <c r="A286" s="20"/>
      <c r="B286" s="20"/>
      <c r="L286" s="44"/>
    </row>
    <row r="287" spans="1:12" s="16" customFormat="1" x14ac:dyDescent="0.3">
      <c r="A287" s="20"/>
      <c r="B287" s="20"/>
      <c r="L287" s="44"/>
    </row>
    <row r="288" spans="1:12" s="16" customFormat="1" x14ac:dyDescent="0.3">
      <c r="A288" s="20"/>
      <c r="B288" s="20"/>
      <c r="L288" s="44"/>
    </row>
    <row r="289" spans="1:12" s="16" customFormat="1" x14ac:dyDescent="0.3">
      <c r="A289" s="20"/>
      <c r="B289" s="20"/>
      <c r="L289" s="44"/>
    </row>
    <row r="290" spans="1:12" s="16" customFormat="1" x14ac:dyDescent="0.3">
      <c r="A290" s="20"/>
      <c r="B290" s="20"/>
      <c r="L290" s="44"/>
    </row>
    <row r="291" spans="1:12" s="16" customFormat="1" x14ac:dyDescent="0.3">
      <c r="A291" s="20"/>
      <c r="B291" s="20"/>
      <c r="L291" s="44"/>
    </row>
    <row r="292" spans="1:12" s="16" customFormat="1" x14ac:dyDescent="0.3">
      <c r="A292" s="20"/>
      <c r="B292" s="20"/>
      <c r="L292" s="44"/>
    </row>
    <row r="293" spans="1:12" s="16" customFormat="1" x14ac:dyDescent="0.3">
      <c r="A293" s="20"/>
      <c r="B293" s="20"/>
      <c r="L293" s="44"/>
    </row>
    <row r="294" spans="1:12" s="16" customFormat="1" x14ac:dyDescent="0.3">
      <c r="A294" s="20"/>
      <c r="B294" s="20"/>
      <c r="L294" s="44"/>
    </row>
    <row r="295" spans="1:12" s="16" customFormat="1" x14ac:dyDescent="0.3">
      <c r="A295" s="20"/>
      <c r="B295" s="20"/>
      <c r="L295" s="44"/>
    </row>
    <row r="296" spans="1:12" s="16" customFormat="1" x14ac:dyDescent="0.3">
      <c r="A296" s="20"/>
      <c r="B296" s="20"/>
      <c r="L296" s="44"/>
    </row>
    <row r="297" spans="1:12" s="16" customFormat="1" x14ac:dyDescent="0.3">
      <c r="A297" s="20"/>
      <c r="B297" s="20"/>
      <c r="L297" s="44"/>
    </row>
    <row r="298" spans="1:12" s="16" customFormat="1" x14ac:dyDescent="0.3">
      <c r="A298" s="20"/>
      <c r="B298" s="20"/>
      <c r="L298" s="44"/>
    </row>
    <row r="299" spans="1:12" s="16" customFormat="1" x14ac:dyDescent="0.3">
      <c r="A299" s="20"/>
      <c r="B299" s="20"/>
      <c r="L299" s="44"/>
    </row>
    <row r="300" spans="1:12" s="16" customFormat="1" x14ac:dyDescent="0.3">
      <c r="A300" s="20"/>
      <c r="B300" s="20"/>
      <c r="L300" s="44"/>
    </row>
    <row r="301" spans="1:12" s="16" customFormat="1" x14ac:dyDescent="0.3">
      <c r="A301" s="20"/>
      <c r="B301" s="20"/>
      <c r="L301" s="44"/>
    </row>
    <row r="302" spans="1:12" s="16" customFormat="1" x14ac:dyDescent="0.3">
      <c r="A302" s="20"/>
      <c r="B302" s="20"/>
      <c r="L302" s="44"/>
    </row>
    <row r="303" spans="1:12" s="16" customFormat="1" x14ac:dyDescent="0.3">
      <c r="A303" s="20"/>
      <c r="B303" s="20"/>
      <c r="L303" s="44"/>
    </row>
    <row r="304" spans="1:12" s="16" customFormat="1" x14ac:dyDescent="0.3">
      <c r="A304" s="20"/>
      <c r="B304" s="20"/>
      <c r="L304" s="44"/>
    </row>
    <row r="305" spans="1:12" s="16" customFormat="1" x14ac:dyDescent="0.3">
      <c r="A305" s="20"/>
      <c r="B305" s="20"/>
      <c r="L305" s="44"/>
    </row>
    <row r="306" spans="1:12" s="16" customFormat="1" x14ac:dyDescent="0.3">
      <c r="A306" s="20"/>
      <c r="B306" s="20"/>
      <c r="L306" s="44"/>
    </row>
    <row r="307" spans="1:12" s="16" customFormat="1" x14ac:dyDescent="0.3">
      <c r="A307" s="20"/>
      <c r="B307" s="20"/>
      <c r="L307" s="44"/>
    </row>
    <row r="308" spans="1:12" s="16" customFormat="1" x14ac:dyDescent="0.3">
      <c r="A308" s="20"/>
      <c r="B308" s="20"/>
      <c r="L308" s="44"/>
    </row>
    <row r="309" spans="1:12" s="16" customFormat="1" x14ac:dyDescent="0.3">
      <c r="A309" s="20"/>
      <c r="B309" s="20"/>
      <c r="L309" s="44"/>
    </row>
    <row r="310" spans="1:12" s="16" customFormat="1" x14ac:dyDescent="0.3">
      <c r="A310" s="20"/>
      <c r="B310" s="20"/>
      <c r="L310" s="44"/>
    </row>
    <row r="311" spans="1:12" s="16" customFormat="1" x14ac:dyDescent="0.3">
      <c r="A311" s="20"/>
      <c r="B311" s="20"/>
      <c r="L311" s="44"/>
    </row>
    <row r="312" spans="1:12" s="16" customFormat="1" x14ac:dyDescent="0.3">
      <c r="A312" s="20"/>
      <c r="B312" s="20"/>
      <c r="L312" s="44"/>
    </row>
    <row r="313" spans="1:12" s="16" customFormat="1" x14ac:dyDescent="0.3">
      <c r="A313" s="20"/>
      <c r="B313" s="20"/>
      <c r="L313" s="44"/>
    </row>
    <row r="314" spans="1:12" s="16" customFormat="1" x14ac:dyDescent="0.3">
      <c r="A314" s="20"/>
      <c r="B314" s="20"/>
      <c r="L314" s="44"/>
    </row>
    <row r="315" spans="1:12" s="16" customFormat="1" x14ac:dyDescent="0.3">
      <c r="A315" s="20"/>
      <c r="B315" s="20"/>
      <c r="L315" s="44"/>
    </row>
    <row r="316" spans="1:12" s="16" customFormat="1" x14ac:dyDescent="0.3">
      <c r="A316" s="20"/>
      <c r="B316" s="20"/>
      <c r="L316" s="44"/>
    </row>
    <row r="317" spans="1:12" s="16" customFormat="1" x14ac:dyDescent="0.3">
      <c r="A317" s="20"/>
      <c r="B317" s="20"/>
      <c r="L317" s="44"/>
    </row>
    <row r="318" spans="1:12" s="16" customFormat="1" x14ac:dyDescent="0.3">
      <c r="A318" s="20"/>
      <c r="B318" s="20"/>
      <c r="L318" s="44"/>
    </row>
    <row r="319" spans="1:12" s="16" customFormat="1" x14ac:dyDescent="0.3">
      <c r="A319" s="20"/>
      <c r="B319" s="20"/>
      <c r="L319" s="44"/>
    </row>
    <row r="320" spans="1:12" s="16" customFormat="1" x14ac:dyDescent="0.3">
      <c r="A320" s="20"/>
      <c r="B320" s="20"/>
      <c r="L320" s="44"/>
    </row>
    <row r="321" spans="1:12" s="16" customFormat="1" x14ac:dyDescent="0.3">
      <c r="A321" s="20"/>
      <c r="B321" s="20"/>
      <c r="L321" s="44"/>
    </row>
    <row r="322" spans="1:12" s="16" customFormat="1" x14ac:dyDescent="0.3">
      <c r="A322" s="20"/>
      <c r="B322" s="20"/>
      <c r="L322" s="44"/>
    </row>
    <row r="323" spans="1:12" s="16" customFormat="1" x14ac:dyDescent="0.3">
      <c r="A323" s="20"/>
      <c r="B323" s="20"/>
      <c r="L323" s="44"/>
    </row>
    <row r="324" spans="1:12" s="16" customFormat="1" x14ac:dyDescent="0.3">
      <c r="A324" s="20"/>
      <c r="B324" s="20"/>
      <c r="L324" s="44"/>
    </row>
    <row r="325" spans="1:12" s="16" customFormat="1" x14ac:dyDescent="0.3">
      <c r="A325" s="20"/>
      <c r="B325" s="20"/>
      <c r="L325" s="44"/>
    </row>
    <row r="326" spans="1:12" s="16" customFormat="1" x14ac:dyDescent="0.3">
      <c r="A326" s="20"/>
      <c r="B326" s="20"/>
      <c r="L326" s="44"/>
    </row>
    <row r="327" spans="1:12" s="16" customFormat="1" x14ac:dyDescent="0.3">
      <c r="A327" s="20"/>
      <c r="B327" s="20"/>
      <c r="L327" s="44"/>
    </row>
    <row r="328" spans="1:12" s="16" customFormat="1" x14ac:dyDescent="0.3">
      <c r="A328" s="20"/>
      <c r="B328" s="20"/>
      <c r="L328" s="44"/>
    </row>
    <row r="329" spans="1:12" s="16" customFormat="1" x14ac:dyDescent="0.3">
      <c r="A329" s="20"/>
      <c r="B329" s="20"/>
      <c r="L329" s="44"/>
    </row>
    <row r="330" spans="1:12" s="16" customFormat="1" x14ac:dyDescent="0.3">
      <c r="A330" s="20"/>
      <c r="B330" s="20"/>
      <c r="L330" s="44"/>
    </row>
    <row r="331" spans="1:12" s="16" customFormat="1" x14ac:dyDescent="0.3">
      <c r="A331" s="20"/>
      <c r="B331" s="20"/>
      <c r="L331" s="44"/>
    </row>
    <row r="332" spans="1:12" s="16" customFormat="1" x14ac:dyDescent="0.3">
      <c r="A332" s="20"/>
      <c r="B332" s="20"/>
      <c r="L332" s="44"/>
    </row>
    <row r="333" spans="1:12" s="16" customFormat="1" x14ac:dyDescent="0.3">
      <c r="A333" s="20"/>
      <c r="B333" s="20"/>
      <c r="L333" s="44"/>
    </row>
    <row r="334" spans="1:12" s="16" customFormat="1" x14ac:dyDescent="0.3">
      <c r="A334" s="20"/>
      <c r="B334" s="20"/>
      <c r="L334" s="44"/>
    </row>
    <row r="335" spans="1:12" s="16" customFormat="1" x14ac:dyDescent="0.3">
      <c r="A335" s="20"/>
      <c r="B335" s="20"/>
      <c r="L335" s="44"/>
    </row>
    <row r="336" spans="1:12" s="16" customFormat="1" x14ac:dyDescent="0.3">
      <c r="A336" s="20"/>
      <c r="B336" s="20"/>
      <c r="L336" s="44"/>
    </row>
    <row r="337" spans="1:13" s="16" customFormat="1" x14ac:dyDescent="0.3">
      <c r="A337" s="20"/>
      <c r="B337" s="20"/>
      <c r="L337" s="44"/>
    </row>
    <row r="338" spans="1:13" s="16" customFormat="1" x14ac:dyDescent="0.3">
      <c r="A338" s="20"/>
      <c r="B338" s="20"/>
      <c r="L338" s="44"/>
    </row>
    <row r="339" spans="1:13" s="16" customFormat="1" x14ac:dyDescent="0.3">
      <c r="A339" s="20"/>
      <c r="B339" s="20"/>
      <c r="L339" s="44"/>
    </row>
    <row r="340" spans="1:13" s="16" customFormat="1" x14ac:dyDescent="0.3">
      <c r="A340" s="20"/>
      <c r="B340" s="20"/>
      <c r="L340"/>
      <c r="M340"/>
    </row>
    <row r="341" spans="1:13" s="16" customFormat="1" x14ac:dyDescent="0.3">
      <c r="A341" s="20"/>
      <c r="B341" s="20"/>
      <c r="L341"/>
      <c r="M341"/>
    </row>
    <row r="342" spans="1:13" s="16" customFormat="1" x14ac:dyDescent="0.3">
      <c r="A342" s="20"/>
      <c r="B342" s="20"/>
      <c r="L342"/>
      <c r="M342"/>
    </row>
    <row r="343" spans="1:13" s="16" customFormat="1" x14ac:dyDescent="0.3">
      <c r="A343" s="20"/>
      <c r="B343" s="20"/>
      <c r="L343"/>
      <c r="M343"/>
    </row>
    <row r="344" spans="1:13" s="16" customFormat="1" x14ac:dyDescent="0.3">
      <c r="A344" s="20"/>
      <c r="B344" s="20"/>
      <c r="L344"/>
      <c r="M344"/>
    </row>
    <row r="345" spans="1:13" s="16" customFormat="1" x14ac:dyDescent="0.3">
      <c r="A345" s="20"/>
      <c r="B345" s="20"/>
      <c r="L345"/>
      <c r="M345"/>
    </row>
    <row r="346" spans="1:13" s="16" customFormat="1" x14ac:dyDescent="0.3">
      <c r="A346" s="20"/>
      <c r="B346" s="20"/>
      <c r="L346"/>
      <c r="M346"/>
    </row>
    <row r="347" spans="1:13" s="16" customFormat="1" x14ac:dyDescent="0.3">
      <c r="A347" s="20"/>
      <c r="B347" s="20"/>
      <c r="L347"/>
      <c r="M347"/>
    </row>
    <row r="348" spans="1:13" s="16" customFormat="1" x14ac:dyDescent="0.3">
      <c r="A348" s="20"/>
      <c r="B348" s="20"/>
      <c r="L348"/>
      <c r="M348"/>
    </row>
    <row r="349" spans="1:13" s="16" customFormat="1" x14ac:dyDescent="0.3">
      <c r="A349" s="20"/>
      <c r="B349" s="20"/>
      <c r="L349"/>
      <c r="M349"/>
    </row>
    <row r="350" spans="1:13" s="16" customFormat="1" x14ac:dyDescent="0.3">
      <c r="A350" s="20"/>
      <c r="B350" s="20"/>
      <c r="L350"/>
      <c r="M350"/>
    </row>
    <row r="351" spans="1:13" s="16" customFormat="1" x14ac:dyDescent="0.3">
      <c r="A351" s="20"/>
      <c r="B351" s="20"/>
      <c r="L351"/>
      <c r="M351"/>
    </row>
    <row r="352" spans="1:13" s="16" customFormat="1" x14ac:dyDescent="0.3">
      <c r="A352" s="20"/>
      <c r="B352" s="20"/>
      <c r="L352"/>
      <c r="M352"/>
    </row>
    <row r="353" spans="1:13" s="16" customFormat="1" x14ac:dyDescent="0.3">
      <c r="A353" s="20"/>
      <c r="B353" s="20"/>
      <c r="L353"/>
      <c r="M353"/>
    </row>
    <row r="354" spans="1:13" s="16" customFormat="1" x14ac:dyDescent="0.3">
      <c r="A354" s="20"/>
      <c r="B354" s="20"/>
      <c r="L354"/>
      <c r="M354"/>
    </row>
    <row r="355" spans="1:13" s="16" customFormat="1" x14ac:dyDescent="0.3">
      <c r="A355" s="20"/>
      <c r="B355" s="20"/>
      <c r="L355"/>
      <c r="M355"/>
    </row>
    <row r="356" spans="1:13" s="16" customFormat="1" x14ac:dyDescent="0.3">
      <c r="A356" s="20"/>
      <c r="B356" s="20"/>
      <c r="L356"/>
      <c r="M356"/>
    </row>
    <row r="357" spans="1:13" s="16" customFormat="1" x14ac:dyDescent="0.3">
      <c r="A357" s="20"/>
      <c r="B357" s="20"/>
      <c r="L357"/>
      <c r="M357"/>
    </row>
    <row r="358" spans="1:13" s="16" customFormat="1" x14ac:dyDescent="0.3">
      <c r="A358" s="20"/>
      <c r="B358" s="20"/>
      <c r="L358"/>
      <c r="M358"/>
    </row>
    <row r="359" spans="1:13" s="16" customFormat="1" x14ac:dyDescent="0.3">
      <c r="A359" s="20"/>
      <c r="B359" s="20"/>
      <c r="L359"/>
      <c r="M359"/>
    </row>
    <row r="360" spans="1:13" s="16" customFormat="1" x14ac:dyDescent="0.3">
      <c r="A360" s="20"/>
      <c r="B360" s="20"/>
      <c r="L360"/>
      <c r="M360"/>
    </row>
    <row r="361" spans="1:13" s="16" customFormat="1" x14ac:dyDescent="0.3">
      <c r="A361" s="20"/>
      <c r="B361" s="20"/>
      <c r="L361"/>
      <c r="M361"/>
    </row>
    <row r="362" spans="1:13" s="16" customFormat="1" x14ac:dyDescent="0.3">
      <c r="A362" s="20"/>
      <c r="B362" s="20"/>
      <c r="L362"/>
      <c r="M362"/>
    </row>
    <row r="363" spans="1:13" s="16" customFormat="1" x14ac:dyDescent="0.3">
      <c r="A363" s="20"/>
      <c r="B363" s="20"/>
      <c r="L363"/>
      <c r="M363"/>
    </row>
    <row r="364" spans="1:13" s="16" customFormat="1" x14ac:dyDescent="0.3">
      <c r="A364" s="20"/>
      <c r="B364" s="20"/>
      <c r="L364"/>
      <c r="M364"/>
    </row>
    <row r="365" spans="1:13" s="16" customFormat="1" x14ac:dyDescent="0.3">
      <c r="A365" s="20"/>
      <c r="B365" s="20"/>
      <c r="L365"/>
      <c r="M365"/>
    </row>
    <row r="366" spans="1:13" s="16" customFormat="1" x14ac:dyDescent="0.3">
      <c r="A366" s="20"/>
      <c r="B366" s="20"/>
      <c r="L366"/>
      <c r="M366"/>
    </row>
    <row r="367" spans="1:13" s="16" customFormat="1" x14ac:dyDescent="0.3">
      <c r="A367" s="20"/>
      <c r="B367" s="20"/>
      <c r="L367"/>
      <c r="M367"/>
    </row>
    <row r="368" spans="1:13" s="16" customFormat="1" x14ac:dyDescent="0.3">
      <c r="A368" s="20"/>
      <c r="B368" s="20"/>
      <c r="L368"/>
      <c r="M368"/>
    </row>
    <row r="369" spans="1:13" s="16" customFormat="1" x14ac:dyDescent="0.3">
      <c r="A369" s="20"/>
      <c r="B369" s="20"/>
      <c r="L369"/>
      <c r="M369"/>
    </row>
    <row r="370" spans="1:13" s="16" customFormat="1" x14ac:dyDescent="0.3">
      <c r="A370" s="20"/>
      <c r="B370" s="20"/>
      <c r="L370"/>
      <c r="M370"/>
    </row>
    <row r="371" spans="1:13" s="16" customFormat="1" x14ac:dyDescent="0.3">
      <c r="A371" s="20"/>
      <c r="B371" s="20"/>
      <c r="L371"/>
      <c r="M371"/>
    </row>
    <row r="372" spans="1:13" s="16" customFormat="1" x14ac:dyDescent="0.3">
      <c r="A372" s="20"/>
      <c r="B372" s="20"/>
      <c r="L372"/>
      <c r="M372"/>
    </row>
    <row r="373" spans="1:13" s="16" customFormat="1" x14ac:dyDescent="0.3">
      <c r="A373" s="20"/>
      <c r="B373" s="20"/>
      <c r="L373"/>
      <c r="M373"/>
    </row>
    <row r="374" spans="1:13" s="16" customFormat="1" x14ac:dyDescent="0.3">
      <c r="A374" s="20"/>
      <c r="B374" s="20"/>
      <c r="L374"/>
      <c r="M374"/>
    </row>
    <row r="375" spans="1:13" s="16" customFormat="1" x14ac:dyDescent="0.3">
      <c r="A375" s="20"/>
      <c r="B375" s="20"/>
      <c r="L375"/>
      <c r="M375"/>
    </row>
    <row r="376" spans="1:13" s="16" customFormat="1" x14ac:dyDescent="0.3">
      <c r="A376" s="20"/>
      <c r="B376" s="20"/>
      <c r="L376"/>
      <c r="M376"/>
    </row>
    <row r="377" spans="1:13" s="16" customFormat="1" x14ac:dyDescent="0.3">
      <c r="A377" s="20"/>
      <c r="B377" s="20"/>
      <c r="L377"/>
      <c r="M377"/>
    </row>
    <row r="378" spans="1:13" s="16" customFormat="1" x14ac:dyDescent="0.3">
      <c r="A378" s="20"/>
      <c r="B378" s="20"/>
      <c r="L378"/>
      <c r="M378"/>
    </row>
    <row r="379" spans="1:13" s="16" customFormat="1" x14ac:dyDescent="0.3">
      <c r="A379" s="20"/>
      <c r="B379" s="20"/>
      <c r="L379"/>
      <c r="M379"/>
    </row>
    <row r="380" spans="1:13" s="16" customFormat="1" x14ac:dyDescent="0.3">
      <c r="A380" s="20"/>
      <c r="B380" s="20"/>
      <c r="L380"/>
      <c r="M380"/>
    </row>
    <row r="381" spans="1:13" s="16" customFormat="1" x14ac:dyDescent="0.3">
      <c r="A381" s="20"/>
      <c r="B381" s="20"/>
      <c r="L381"/>
      <c r="M381"/>
    </row>
    <row r="382" spans="1:13" s="16" customFormat="1" x14ac:dyDescent="0.3">
      <c r="A382" s="20"/>
      <c r="B382" s="20"/>
      <c r="L382"/>
      <c r="M382"/>
    </row>
    <row r="383" spans="1:13" s="16" customFormat="1" x14ac:dyDescent="0.3">
      <c r="A383" s="20"/>
      <c r="B383" s="20"/>
      <c r="L383"/>
      <c r="M383"/>
    </row>
    <row r="384" spans="1:13" s="16" customFormat="1" x14ac:dyDescent="0.3">
      <c r="A384" s="20"/>
      <c r="B384" s="20"/>
      <c r="L384"/>
      <c r="M384"/>
    </row>
    <row r="385" spans="1:13" s="16" customFormat="1" x14ac:dyDescent="0.3">
      <c r="A385" s="20"/>
      <c r="B385" s="20"/>
      <c r="L385"/>
      <c r="M385"/>
    </row>
    <row r="386" spans="1:13" s="16" customFormat="1" x14ac:dyDescent="0.3">
      <c r="A386" s="20"/>
      <c r="B386" s="20"/>
      <c r="L386"/>
      <c r="M386"/>
    </row>
    <row r="387" spans="1:13" s="16" customFormat="1" x14ac:dyDescent="0.3">
      <c r="A387" s="20"/>
      <c r="B387" s="20"/>
      <c r="L387"/>
      <c r="M387"/>
    </row>
    <row r="388" spans="1:13" s="16" customFormat="1" x14ac:dyDescent="0.3">
      <c r="A388" s="20"/>
      <c r="B388" s="20"/>
      <c r="L388"/>
      <c r="M388"/>
    </row>
    <row r="389" spans="1:13" s="16" customFormat="1" x14ac:dyDescent="0.3">
      <c r="A389" s="20"/>
      <c r="B389" s="20"/>
      <c r="L389"/>
      <c r="M389"/>
    </row>
    <row r="390" spans="1:13" s="16" customFormat="1" x14ac:dyDescent="0.3">
      <c r="A390" s="20"/>
      <c r="B390" s="20"/>
      <c r="L390"/>
      <c r="M390"/>
    </row>
    <row r="391" spans="1:13" s="16" customFormat="1" x14ac:dyDescent="0.3">
      <c r="A391" s="20"/>
      <c r="B391" s="20"/>
      <c r="L391"/>
      <c r="M391"/>
    </row>
    <row r="392" spans="1:13" s="16" customFormat="1" x14ac:dyDescent="0.3">
      <c r="A392" s="20"/>
      <c r="B392" s="20"/>
      <c r="L392"/>
      <c r="M392"/>
    </row>
    <row r="393" spans="1:13" s="16" customFormat="1" x14ac:dyDescent="0.3">
      <c r="A393" s="20"/>
      <c r="B393" s="20"/>
      <c r="L393"/>
      <c r="M393"/>
    </row>
    <row r="394" spans="1:13" s="16" customFormat="1" x14ac:dyDescent="0.3">
      <c r="A394" s="20"/>
      <c r="B394" s="20"/>
      <c r="L394"/>
      <c r="M394"/>
    </row>
    <row r="395" spans="1:13" s="16" customFormat="1" x14ac:dyDescent="0.3">
      <c r="A395" s="20"/>
      <c r="B395" s="20"/>
      <c r="L395"/>
      <c r="M395"/>
    </row>
    <row r="396" spans="1:13" s="16" customFormat="1" x14ac:dyDescent="0.3">
      <c r="A396" s="20"/>
      <c r="B396" s="20"/>
      <c r="L396"/>
      <c r="M396"/>
    </row>
    <row r="397" spans="1:13" s="16" customFormat="1" x14ac:dyDescent="0.3">
      <c r="A397" s="20"/>
      <c r="B397" s="20"/>
      <c r="L397"/>
      <c r="M397"/>
    </row>
    <row r="398" spans="1:13" s="16" customFormat="1" x14ac:dyDescent="0.3">
      <c r="A398" s="20"/>
      <c r="B398" s="20"/>
      <c r="L398"/>
      <c r="M398"/>
    </row>
    <row r="399" spans="1:13" s="16" customFormat="1" x14ac:dyDescent="0.3">
      <c r="A399" s="20"/>
      <c r="B399" s="20"/>
      <c r="L399"/>
      <c r="M399"/>
    </row>
    <row r="400" spans="1:13" s="16" customFormat="1" x14ac:dyDescent="0.3">
      <c r="A400" s="20"/>
      <c r="B400" s="20"/>
      <c r="L400"/>
      <c r="M400"/>
    </row>
    <row r="401" spans="1:13" s="16" customFormat="1" x14ac:dyDescent="0.3">
      <c r="A401" s="20"/>
      <c r="B401" s="20"/>
      <c r="L401"/>
      <c r="M401"/>
    </row>
    <row r="402" spans="1:13" s="16" customFormat="1" x14ac:dyDescent="0.3">
      <c r="A402" s="20"/>
      <c r="B402" s="20"/>
      <c r="L402"/>
      <c r="M402"/>
    </row>
    <row r="403" spans="1:13" s="16" customFormat="1" x14ac:dyDescent="0.3">
      <c r="A403" s="20"/>
      <c r="B403" s="20"/>
      <c r="L403"/>
      <c r="M403"/>
    </row>
    <row r="404" spans="1:13" s="16" customFormat="1" x14ac:dyDescent="0.3">
      <c r="A404" s="20"/>
      <c r="B404" s="20"/>
      <c r="L404"/>
      <c r="M404"/>
    </row>
    <row r="405" spans="1:13" s="16" customFormat="1" x14ac:dyDescent="0.3">
      <c r="A405" s="20"/>
      <c r="B405" s="20"/>
      <c r="L405"/>
      <c r="M405"/>
    </row>
    <row r="406" spans="1:13" s="16" customFormat="1" x14ac:dyDescent="0.3">
      <c r="A406" s="20"/>
      <c r="B406" s="20"/>
      <c r="L406"/>
      <c r="M406"/>
    </row>
    <row r="407" spans="1:13" s="16" customFormat="1" x14ac:dyDescent="0.3">
      <c r="A407" s="20"/>
      <c r="B407" s="20"/>
      <c r="L407"/>
      <c r="M407"/>
    </row>
    <row r="408" spans="1:13" s="16" customFormat="1" x14ac:dyDescent="0.3">
      <c r="A408" s="20"/>
      <c r="B408" s="20"/>
      <c r="L408"/>
      <c r="M408"/>
    </row>
    <row r="409" spans="1:13" s="16" customFormat="1" x14ac:dyDescent="0.3">
      <c r="A409" s="20"/>
      <c r="B409" s="20"/>
      <c r="L409"/>
      <c r="M409"/>
    </row>
    <row r="410" spans="1:13" s="16" customFormat="1" x14ac:dyDescent="0.3">
      <c r="A410" s="20"/>
      <c r="B410" s="20"/>
      <c r="L410"/>
      <c r="M410"/>
    </row>
    <row r="411" spans="1:13" s="16" customFormat="1" x14ac:dyDescent="0.3">
      <c r="A411" s="20"/>
      <c r="B411" s="20"/>
      <c r="L411"/>
      <c r="M411"/>
    </row>
    <row r="412" spans="1:13" s="16" customFormat="1" x14ac:dyDescent="0.3">
      <c r="A412" s="20"/>
      <c r="B412" s="20"/>
      <c r="L412"/>
      <c r="M412"/>
    </row>
    <row r="413" spans="1:13" s="16" customFormat="1" x14ac:dyDescent="0.3">
      <c r="A413" s="20"/>
      <c r="B413" s="20"/>
      <c r="L413"/>
      <c r="M413"/>
    </row>
    <row r="414" spans="1:13" s="16" customFormat="1" x14ac:dyDescent="0.3">
      <c r="A414" s="20"/>
      <c r="B414" s="20"/>
      <c r="L414"/>
      <c r="M414"/>
    </row>
    <row r="415" spans="1:13" s="16" customFormat="1" x14ac:dyDescent="0.3">
      <c r="A415" s="20"/>
      <c r="B415" s="20"/>
      <c r="L415"/>
      <c r="M415"/>
    </row>
    <row r="416" spans="1:13" s="16" customFormat="1" x14ac:dyDescent="0.3">
      <c r="A416" s="20"/>
      <c r="B416" s="20"/>
      <c r="L416"/>
      <c r="M416"/>
    </row>
    <row r="417" spans="1:13" s="16" customFormat="1" x14ac:dyDescent="0.3">
      <c r="A417" s="20"/>
      <c r="B417" s="20"/>
      <c r="L417"/>
      <c r="M417"/>
    </row>
    <row r="418" spans="1:13" s="16" customFormat="1" x14ac:dyDescent="0.3">
      <c r="A418" s="20"/>
      <c r="B418" s="20"/>
      <c r="L418"/>
      <c r="M418"/>
    </row>
    <row r="419" spans="1:13" s="16" customFormat="1" x14ac:dyDescent="0.3">
      <c r="A419" s="20"/>
      <c r="B419" s="20"/>
      <c r="L419"/>
      <c r="M419"/>
    </row>
    <row r="420" spans="1:13" s="16" customFormat="1" x14ac:dyDescent="0.3">
      <c r="A420" s="20"/>
      <c r="B420" s="20"/>
      <c r="L420"/>
      <c r="M420"/>
    </row>
    <row r="421" spans="1:13" s="16" customFormat="1" x14ac:dyDescent="0.3">
      <c r="A421" s="20"/>
      <c r="B421" s="20"/>
      <c r="L421"/>
      <c r="M421"/>
    </row>
    <row r="422" spans="1:13" s="16" customFormat="1" x14ac:dyDescent="0.3">
      <c r="A422" s="20"/>
      <c r="B422" s="20"/>
      <c r="L422"/>
      <c r="M422"/>
    </row>
    <row r="423" spans="1:13" s="16" customFormat="1" x14ac:dyDescent="0.3">
      <c r="A423" s="20"/>
      <c r="B423" s="20"/>
      <c r="L423"/>
      <c r="M423"/>
    </row>
    <row r="424" spans="1:13" s="16" customFormat="1" x14ac:dyDescent="0.3">
      <c r="A424" s="20"/>
      <c r="B424" s="20"/>
      <c r="L424"/>
      <c r="M424"/>
    </row>
    <row r="425" spans="1:13" s="16" customFormat="1" x14ac:dyDescent="0.3">
      <c r="A425" s="20"/>
      <c r="B425" s="20"/>
      <c r="L425"/>
      <c r="M425"/>
    </row>
    <row r="426" spans="1:13" s="16" customFormat="1" x14ac:dyDescent="0.3">
      <c r="A426" s="20"/>
      <c r="B426" s="20"/>
      <c r="L426"/>
      <c r="M426"/>
    </row>
    <row r="427" spans="1:13" s="16" customFormat="1" x14ac:dyDescent="0.3">
      <c r="A427" s="20"/>
      <c r="B427" s="20"/>
      <c r="L427"/>
      <c r="M427"/>
    </row>
    <row r="428" spans="1:13" s="16" customFormat="1" x14ac:dyDescent="0.3">
      <c r="A428" s="20"/>
      <c r="B428" s="20"/>
      <c r="L428"/>
      <c r="M428"/>
    </row>
    <row r="429" spans="1:13" s="16" customFormat="1" x14ac:dyDescent="0.3">
      <c r="A429" s="20"/>
      <c r="B429" s="20"/>
      <c r="L429"/>
      <c r="M429"/>
    </row>
    <row r="430" spans="1:13" s="16" customFormat="1" x14ac:dyDescent="0.3">
      <c r="A430" s="20"/>
      <c r="B430" s="20"/>
      <c r="L430"/>
      <c r="M430"/>
    </row>
    <row r="431" spans="1:13" s="16" customFormat="1" x14ac:dyDescent="0.3">
      <c r="A431" s="20"/>
      <c r="B431" s="20"/>
      <c r="L431"/>
      <c r="M431"/>
    </row>
    <row r="432" spans="1:13" s="16" customFormat="1" x14ac:dyDescent="0.3">
      <c r="A432" s="20"/>
      <c r="B432" s="20"/>
      <c r="L432"/>
      <c r="M432"/>
    </row>
    <row r="433" spans="1:13" s="16" customFormat="1" x14ac:dyDescent="0.3">
      <c r="A433" s="20"/>
      <c r="B433" s="20"/>
      <c r="L433"/>
      <c r="M433"/>
    </row>
    <row r="434" spans="1:13" s="16" customFormat="1" x14ac:dyDescent="0.3">
      <c r="A434" s="20"/>
      <c r="B434" s="20"/>
      <c r="L434"/>
      <c r="M434"/>
    </row>
    <row r="435" spans="1:13" s="16" customFormat="1" x14ac:dyDescent="0.3">
      <c r="A435" s="20"/>
      <c r="B435" s="20"/>
      <c r="L435"/>
      <c r="M435"/>
    </row>
    <row r="436" spans="1:13" s="16" customFormat="1" x14ac:dyDescent="0.3">
      <c r="A436" s="20"/>
      <c r="B436" s="20"/>
      <c r="L436"/>
      <c r="M436"/>
    </row>
    <row r="437" spans="1:13" s="16" customFormat="1" x14ac:dyDescent="0.3">
      <c r="A437" s="20"/>
      <c r="B437" s="20"/>
      <c r="L437"/>
      <c r="M437"/>
    </row>
    <row r="438" spans="1:13" s="16" customFormat="1" x14ac:dyDescent="0.3">
      <c r="A438" s="20"/>
      <c r="B438" s="20"/>
      <c r="L438"/>
      <c r="M438"/>
    </row>
    <row r="439" spans="1:13" s="16" customFormat="1" x14ac:dyDescent="0.3">
      <c r="A439" s="20"/>
      <c r="B439" s="20"/>
      <c r="L439"/>
      <c r="M439"/>
    </row>
    <row r="440" spans="1:13" s="16" customFormat="1" x14ac:dyDescent="0.3">
      <c r="A440" s="20"/>
      <c r="B440" s="20"/>
      <c r="L440"/>
      <c r="M440"/>
    </row>
    <row r="441" spans="1:13" s="16" customFormat="1" x14ac:dyDescent="0.3">
      <c r="A441" s="20"/>
      <c r="B441" s="20"/>
      <c r="L441"/>
      <c r="M441"/>
    </row>
    <row r="442" spans="1:13" s="16" customFormat="1" x14ac:dyDescent="0.3">
      <c r="A442" s="20"/>
      <c r="B442" s="20"/>
      <c r="L442"/>
      <c r="M442"/>
    </row>
    <row r="443" spans="1:13" s="16" customFormat="1" x14ac:dyDescent="0.3">
      <c r="A443" s="20"/>
      <c r="B443" s="20"/>
      <c r="L443"/>
      <c r="M443"/>
    </row>
    <row r="444" spans="1:13" s="16" customFormat="1" x14ac:dyDescent="0.3">
      <c r="A444" s="20"/>
      <c r="B444" s="20"/>
      <c r="L444"/>
      <c r="M444"/>
    </row>
    <row r="445" spans="1:13" s="16" customFormat="1" x14ac:dyDescent="0.3">
      <c r="A445" s="20"/>
      <c r="B445" s="20"/>
      <c r="L445"/>
      <c r="M445"/>
    </row>
    <row r="446" spans="1:13" s="16" customFormat="1" x14ac:dyDescent="0.3">
      <c r="A446" s="20"/>
      <c r="B446" s="20"/>
      <c r="L446"/>
      <c r="M446"/>
    </row>
    <row r="447" spans="1:13" s="16" customFormat="1" x14ac:dyDescent="0.3">
      <c r="A447" s="20"/>
      <c r="B447" s="20"/>
      <c r="L447"/>
      <c r="M447"/>
    </row>
    <row r="448" spans="1:13" s="16" customFormat="1" x14ac:dyDescent="0.3">
      <c r="A448" s="20"/>
      <c r="B448" s="20"/>
      <c r="L448"/>
      <c r="M448"/>
    </row>
    <row r="449" spans="1:13" s="16" customFormat="1" x14ac:dyDescent="0.3">
      <c r="A449" s="20"/>
      <c r="B449" s="20"/>
      <c r="L449"/>
      <c r="M449"/>
    </row>
    <row r="450" spans="1:13" s="16" customFormat="1" x14ac:dyDescent="0.3">
      <c r="A450" s="20"/>
      <c r="B450" s="20"/>
      <c r="L450"/>
      <c r="M450"/>
    </row>
    <row r="451" spans="1:13" s="16" customFormat="1" x14ac:dyDescent="0.3">
      <c r="A451" s="20"/>
      <c r="B451" s="20"/>
      <c r="L451"/>
      <c r="M451"/>
    </row>
    <row r="452" spans="1:13" s="16" customFormat="1" x14ac:dyDescent="0.3">
      <c r="A452" s="20"/>
      <c r="B452" s="20"/>
      <c r="L452"/>
      <c r="M452"/>
    </row>
    <row r="453" spans="1:13" s="16" customFormat="1" x14ac:dyDescent="0.3">
      <c r="A453" s="20"/>
      <c r="B453" s="20"/>
      <c r="L453"/>
      <c r="M453"/>
    </row>
    <row r="454" spans="1:13" s="16" customFormat="1" x14ac:dyDescent="0.3">
      <c r="A454" s="20"/>
      <c r="B454" s="20"/>
      <c r="L454"/>
      <c r="M454"/>
    </row>
    <row r="455" spans="1:13" s="16" customFormat="1" x14ac:dyDescent="0.3">
      <c r="A455" s="20"/>
      <c r="B455" s="20"/>
      <c r="L455"/>
      <c r="M455"/>
    </row>
    <row r="456" spans="1:13" s="16" customFormat="1" x14ac:dyDescent="0.3">
      <c r="A456" s="20"/>
      <c r="B456" s="20"/>
      <c r="L456"/>
      <c r="M456"/>
    </row>
    <row r="457" spans="1:13" s="16" customFormat="1" x14ac:dyDescent="0.3">
      <c r="A457" s="20"/>
      <c r="B457" s="20"/>
      <c r="L457"/>
      <c r="M457"/>
    </row>
    <row r="458" spans="1:13" s="16" customFormat="1" x14ac:dyDescent="0.3">
      <c r="A458" s="20"/>
      <c r="B458" s="20"/>
      <c r="L458"/>
      <c r="M458"/>
    </row>
    <row r="459" spans="1:13" s="16" customFormat="1" x14ac:dyDescent="0.3">
      <c r="A459" s="20"/>
      <c r="B459" s="20"/>
      <c r="L459"/>
      <c r="M459"/>
    </row>
    <row r="460" spans="1:13" s="16" customFormat="1" x14ac:dyDescent="0.3">
      <c r="A460" s="20"/>
      <c r="B460" s="20"/>
      <c r="L460"/>
      <c r="M460"/>
    </row>
    <row r="461" spans="1:13" s="16" customFormat="1" x14ac:dyDescent="0.3">
      <c r="A461" s="20"/>
      <c r="B461" s="20"/>
      <c r="L461"/>
      <c r="M461"/>
    </row>
    <row r="462" spans="1:13" s="16" customFormat="1" x14ac:dyDescent="0.3">
      <c r="A462" s="20"/>
      <c r="B462" s="20"/>
      <c r="L462"/>
      <c r="M462"/>
    </row>
    <row r="463" spans="1:13" s="16" customFormat="1" x14ac:dyDescent="0.3">
      <c r="A463" s="20"/>
      <c r="B463" s="20"/>
      <c r="L463"/>
      <c r="M463"/>
    </row>
    <row r="464" spans="1:13" s="16" customFormat="1" x14ac:dyDescent="0.3">
      <c r="A464" s="20"/>
      <c r="B464" s="20"/>
      <c r="L464"/>
      <c r="M464"/>
    </row>
    <row r="465" spans="1:13" s="16" customFormat="1" x14ac:dyDescent="0.3">
      <c r="A465" s="20"/>
      <c r="B465" s="20"/>
      <c r="L465"/>
      <c r="M465"/>
    </row>
    <row r="466" spans="1:13" s="16" customFormat="1" x14ac:dyDescent="0.3">
      <c r="A466" s="20"/>
      <c r="B466" s="20"/>
      <c r="L466"/>
      <c r="M466"/>
    </row>
    <row r="467" spans="1:13" s="16" customFormat="1" x14ac:dyDescent="0.3">
      <c r="A467" s="20"/>
      <c r="B467" s="20"/>
      <c r="L467"/>
      <c r="M467"/>
    </row>
    <row r="468" spans="1:13" s="16" customFormat="1" x14ac:dyDescent="0.3">
      <c r="A468" s="20"/>
      <c r="B468" s="20"/>
      <c r="L468"/>
      <c r="M468"/>
    </row>
    <row r="469" spans="1:13" s="16" customFormat="1" x14ac:dyDescent="0.3">
      <c r="A469" s="20"/>
      <c r="B469" s="20"/>
      <c r="L469"/>
      <c r="M469"/>
    </row>
    <row r="470" spans="1:13" s="16" customFormat="1" x14ac:dyDescent="0.3">
      <c r="A470" s="20"/>
      <c r="B470" s="20"/>
      <c r="L470"/>
      <c r="M470"/>
    </row>
    <row r="471" spans="1:13" s="16" customFormat="1" x14ac:dyDescent="0.3">
      <c r="A471" s="20"/>
      <c r="B471" s="20"/>
      <c r="L471"/>
      <c r="M471"/>
    </row>
    <row r="472" spans="1:13" s="16" customFormat="1" x14ac:dyDescent="0.3">
      <c r="A472" s="20"/>
      <c r="B472" s="20"/>
      <c r="L472"/>
      <c r="M472"/>
    </row>
    <row r="473" spans="1:13" s="16" customFormat="1" x14ac:dyDescent="0.3">
      <c r="A473" s="20"/>
      <c r="B473" s="20"/>
      <c r="L473"/>
      <c r="M473"/>
    </row>
    <row r="474" spans="1:13" s="16" customFormat="1" x14ac:dyDescent="0.3">
      <c r="A474" s="20"/>
      <c r="B474" s="20"/>
      <c r="L474"/>
      <c r="M474"/>
    </row>
    <row r="475" spans="1:13" s="16" customFormat="1" x14ac:dyDescent="0.3">
      <c r="A475" s="20"/>
      <c r="B475" s="20"/>
      <c r="L475"/>
      <c r="M475"/>
    </row>
    <row r="476" spans="1:13" s="16" customFormat="1" x14ac:dyDescent="0.3">
      <c r="A476" s="20"/>
      <c r="B476" s="20"/>
      <c r="L476"/>
      <c r="M476"/>
    </row>
    <row r="477" spans="1:13" s="16" customFormat="1" x14ac:dyDescent="0.3">
      <c r="A477" s="20"/>
      <c r="B477" s="20"/>
      <c r="L477"/>
      <c r="M477"/>
    </row>
    <row r="478" spans="1:13" s="16" customFormat="1" x14ac:dyDescent="0.3">
      <c r="A478" s="20"/>
      <c r="B478" s="20"/>
      <c r="L478"/>
      <c r="M478"/>
    </row>
    <row r="479" spans="1:13" s="16" customFormat="1" x14ac:dyDescent="0.3">
      <c r="A479" s="20"/>
      <c r="B479" s="20"/>
      <c r="L479"/>
      <c r="M479"/>
    </row>
    <row r="480" spans="1:13" s="16" customFormat="1" x14ac:dyDescent="0.3">
      <c r="A480" s="20"/>
      <c r="B480" s="20"/>
      <c r="L480"/>
      <c r="M480"/>
    </row>
    <row r="481" spans="1:13" s="16" customFormat="1" x14ac:dyDescent="0.3">
      <c r="A481" s="20"/>
      <c r="B481" s="20"/>
      <c r="L481"/>
      <c r="M481"/>
    </row>
    <row r="482" spans="1:13" s="16" customFormat="1" x14ac:dyDescent="0.3">
      <c r="A482" s="20"/>
      <c r="B482" s="20"/>
      <c r="L482"/>
      <c r="M482"/>
    </row>
    <row r="483" spans="1:13" s="16" customFormat="1" x14ac:dyDescent="0.3">
      <c r="A483" s="20"/>
      <c r="B483" s="20"/>
      <c r="L483"/>
      <c r="M483"/>
    </row>
    <row r="484" spans="1:13" s="16" customFormat="1" x14ac:dyDescent="0.3">
      <c r="A484" s="20"/>
      <c r="B484" s="20"/>
      <c r="L484"/>
      <c r="M484"/>
    </row>
    <row r="485" spans="1:13" s="16" customFormat="1" x14ac:dyDescent="0.3">
      <c r="A485" s="20"/>
      <c r="B485" s="20"/>
      <c r="L485"/>
      <c r="M485"/>
    </row>
    <row r="486" spans="1:13" s="16" customFormat="1" x14ac:dyDescent="0.3">
      <c r="A486" s="20"/>
      <c r="B486" s="20"/>
      <c r="L486"/>
      <c r="M486"/>
    </row>
    <row r="487" spans="1:13" s="16" customFormat="1" x14ac:dyDescent="0.3">
      <c r="A487" s="20"/>
      <c r="B487" s="20"/>
      <c r="L487"/>
      <c r="M487"/>
    </row>
    <row r="488" spans="1:13" s="16" customFormat="1" x14ac:dyDescent="0.3">
      <c r="A488" s="20"/>
      <c r="B488" s="20"/>
      <c r="L488"/>
      <c r="M488"/>
    </row>
    <row r="489" spans="1:13" s="16" customFormat="1" x14ac:dyDescent="0.3">
      <c r="A489" s="20"/>
      <c r="B489" s="20"/>
      <c r="L489"/>
      <c r="M489"/>
    </row>
    <row r="490" spans="1:13" s="16" customFormat="1" x14ac:dyDescent="0.3">
      <c r="A490" s="20"/>
      <c r="B490" s="20"/>
      <c r="L490"/>
      <c r="M490"/>
    </row>
    <row r="491" spans="1:13" s="16" customFormat="1" x14ac:dyDescent="0.3">
      <c r="A491" s="20"/>
      <c r="B491" s="20"/>
      <c r="L491"/>
      <c r="M491"/>
    </row>
    <row r="492" spans="1:13" s="16" customFormat="1" x14ac:dyDescent="0.3">
      <c r="A492" s="20"/>
      <c r="B492" s="20"/>
      <c r="L492"/>
      <c r="M492"/>
    </row>
    <row r="493" spans="1:13" s="16" customFormat="1" x14ac:dyDescent="0.3">
      <c r="A493" s="20"/>
      <c r="B493" s="20"/>
      <c r="L493"/>
      <c r="M493"/>
    </row>
    <row r="494" spans="1:13" s="16" customFormat="1" x14ac:dyDescent="0.3">
      <c r="A494" s="20"/>
      <c r="B494" s="20"/>
      <c r="L494"/>
      <c r="M494"/>
    </row>
    <row r="495" spans="1:13" s="16" customFormat="1" x14ac:dyDescent="0.3">
      <c r="A495" s="20"/>
      <c r="B495" s="20"/>
      <c r="L495"/>
      <c r="M495"/>
    </row>
    <row r="496" spans="1:13" s="16" customFormat="1" x14ac:dyDescent="0.3">
      <c r="A496" s="20"/>
      <c r="B496" s="20"/>
      <c r="L496"/>
      <c r="M496"/>
    </row>
    <row r="497" spans="1:13" s="16" customFormat="1" x14ac:dyDescent="0.3">
      <c r="A497" s="20"/>
      <c r="B497" s="20"/>
      <c r="L497"/>
      <c r="M497"/>
    </row>
    <row r="498" spans="1:13" s="16" customFormat="1" x14ac:dyDescent="0.3">
      <c r="A498" s="20"/>
      <c r="B498" s="20"/>
      <c r="L498"/>
      <c r="M498"/>
    </row>
    <row r="499" spans="1:13" s="16" customFormat="1" x14ac:dyDescent="0.3">
      <c r="A499" s="20"/>
      <c r="B499" s="20"/>
      <c r="L499"/>
      <c r="M499"/>
    </row>
    <row r="500" spans="1:13" s="16" customFormat="1" x14ac:dyDescent="0.3">
      <c r="A500" s="20"/>
      <c r="B500" s="20"/>
      <c r="L500"/>
      <c r="M500"/>
    </row>
    <row r="501" spans="1:13" s="16" customFormat="1" x14ac:dyDescent="0.3">
      <c r="A501" s="20"/>
      <c r="B501" s="20"/>
      <c r="L501"/>
      <c r="M501"/>
    </row>
    <row r="502" spans="1:13" s="16" customFormat="1" x14ac:dyDescent="0.3">
      <c r="A502" s="20"/>
      <c r="B502" s="20"/>
      <c r="L502"/>
      <c r="M502"/>
    </row>
    <row r="503" spans="1:13" s="16" customFormat="1" x14ac:dyDescent="0.3">
      <c r="A503" s="20"/>
      <c r="B503" s="20"/>
      <c r="L503"/>
      <c r="M503"/>
    </row>
    <row r="504" spans="1:13" s="16" customFormat="1" x14ac:dyDescent="0.3">
      <c r="A504" s="20"/>
      <c r="B504" s="20"/>
      <c r="L504"/>
      <c r="M504"/>
    </row>
    <row r="505" spans="1:13" s="16" customFormat="1" x14ac:dyDescent="0.3">
      <c r="A505" s="20"/>
      <c r="B505" s="20"/>
      <c r="L505"/>
      <c r="M505"/>
    </row>
    <row r="506" spans="1:13" s="16" customFormat="1" x14ac:dyDescent="0.3">
      <c r="A506" s="20"/>
      <c r="B506" s="20"/>
      <c r="L506"/>
      <c r="M506"/>
    </row>
    <row r="507" spans="1:13" s="16" customFormat="1" x14ac:dyDescent="0.3">
      <c r="A507" s="20"/>
      <c r="B507" s="20"/>
      <c r="L507"/>
      <c r="M507"/>
    </row>
    <row r="508" spans="1:13" s="16" customFormat="1" x14ac:dyDescent="0.3">
      <c r="A508" s="20"/>
      <c r="B508" s="20"/>
      <c r="L508"/>
      <c r="M508"/>
    </row>
    <row r="509" spans="1:13" s="16" customFormat="1" x14ac:dyDescent="0.3">
      <c r="A509" s="20"/>
      <c r="B509" s="20"/>
      <c r="L509"/>
      <c r="M509"/>
    </row>
    <row r="510" spans="1:13" s="16" customFormat="1" x14ac:dyDescent="0.3">
      <c r="A510" s="20"/>
      <c r="B510" s="20"/>
      <c r="L510"/>
      <c r="M510"/>
    </row>
    <row r="511" spans="1:13" s="16" customFormat="1" x14ac:dyDescent="0.3">
      <c r="A511" s="20"/>
      <c r="B511" s="20"/>
      <c r="L511"/>
      <c r="M511"/>
    </row>
    <row r="512" spans="1:13" s="16" customFormat="1" x14ac:dyDescent="0.3">
      <c r="A512" s="20"/>
      <c r="B512" s="20"/>
      <c r="L512"/>
      <c r="M512"/>
    </row>
    <row r="513" spans="1:13" s="16" customFormat="1" x14ac:dyDescent="0.3">
      <c r="A513" s="20"/>
      <c r="B513" s="20"/>
      <c r="L513"/>
      <c r="M513"/>
    </row>
    <row r="514" spans="1:13" s="16" customFormat="1" x14ac:dyDescent="0.3">
      <c r="A514" s="20"/>
      <c r="B514" s="20"/>
      <c r="L514"/>
      <c r="M514"/>
    </row>
    <row r="515" spans="1:13" s="16" customFormat="1" x14ac:dyDescent="0.3">
      <c r="A515" s="20"/>
      <c r="B515" s="20"/>
      <c r="L515"/>
      <c r="M515"/>
    </row>
    <row r="516" spans="1:13" s="16" customFormat="1" x14ac:dyDescent="0.3">
      <c r="A516" s="20"/>
      <c r="B516" s="20"/>
      <c r="L516"/>
      <c r="M516"/>
    </row>
    <row r="517" spans="1:13" s="16" customFormat="1" x14ac:dyDescent="0.3">
      <c r="A517" s="20"/>
      <c r="B517" s="20"/>
      <c r="L517"/>
      <c r="M517"/>
    </row>
    <row r="518" spans="1:13" s="16" customFormat="1" x14ac:dyDescent="0.3">
      <c r="A518" s="20"/>
      <c r="B518" s="20"/>
      <c r="L518"/>
      <c r="M518"/>
    </row>
    <row r="519" spans="1:13" s="16" customFormat="1" x14ac:dyDescent="0.3">
      <c r="A519" s="20"/>
      <c r="B519" s="20"/>
      <c r="L519"/>
      <c r="M519"/>
    </row>
    <row r="520" spans="1:13" s="16" customFormat="1" x14ac:dyDescent="0.3">
      <c r="A520" s="20"/>
      <c r="B520" s="20"/>
      <c r="L520"/>
      <c r="M520"/>
    </row>
    <row r="521" spans="1:13" s="16" customFormat="1" x14ac:dyDescent="0.3">
      <c r="A521" s="20"/>
      <c r="B521" s="20"/>
      <c r="L521"/>
      <c r="M521"/>
    </row>
    <row r="522" spans="1:13" s="16" customFormat="1" x14ac:dyDescent="0.3">
      <c r="A522" s="20"/>
      <c r="B522" s="20"/>
      <c r="L522"/>
      <c r="M522"/>
    </row>
    <row r="523" spans="1:13" s="16" customFormat="1" x14ac:dyDescent="0.3">
      <c r="A523" s="20"/>
      <c r="B523" s="20"/>
      <c r="L523"/>
      <c r="M523"/>
    </row>
    <row r="524" spans="1:13" s="16" customFormat="1" x14ac:dyDescent="0.3">
      <c r="A524" s="20"/>
      <c r="B524" s="20"/>
      <c r="L524"/>
      <c r="M524"/>
    </row>
    <row r="525" spans="1:13" s="16" customFormat="1" x14ac:dyDescent="0.3">
      <c r="A525" s="20"/>
      <c r="B525" s="20"/>
      <c r="L525"/>
      <c r="M525"/>
    </row>
    <row r="526" spans="1:13" s="16" customFormat="1" x14ac:dyDescent="0.3">
      <c r="A526" s="20"/>
      <c r="B526" s="20"/>
      <c r="L526"/>
      <c r="M526"/>
    </row>
    <row r="527" spans="1:13" s="16" customFormat="1" x14ac:dyDescent="0.3">
      <c r="A527" s="20"/>
      <c r="B527" s="20"/>
      <c r="L527"/>
      <c r="M527"/>
    </row>
    <row r="528" spans="1:13" s="16" customFormat="1" x14ac:dyDescent="0.3">
      <c r="A528" s="20"/>
      <c r="B528" s="20"/>
      <c r="L528"/>
      <c r="M528"/>
    </row>
    <row r="529" spans="1:13" s="16" customFormat="1" x14ac:dyDescent="0.3">
      <c r="A529" s="20"/>
      <c r="B529" s="20"/>
      <c r="L529"/>
      <c r="M529"/>
    </row>
    <row r="530" spans="1:13" s="16" customFormat="1" x14ac:dyDescent="0.3">
      <c r="A530" s="20"/>
      <c r="B530" s="20"/>
      <c r="L530"/>
      <c r="M530"/>
    </row>
    <row r="531" spans="1:13" s="16" customFormat="1" x14ac:dyDescent="0.3">
      <c r="A531" s="20"/>
      <c r="B531" s="20"/>
      <c r="L531"/>
      <c r="M531"/>
    </row>
    <row r="532" spans="1:13" s="16" customFormat="1" x14ac:dyDescent="0.3">
      <c r="A532" s="20"/>
      <c r="B532" s="20"/>
      <c r="L532"/>
      <c r="M532"/>
    </row>
    <row r="533" spans="1:13" s="16" customFormat="1" x14ac:dyDescent="0.3">
      <c r="A533" s="20"/>
      <c r="B533" s="20"/>
      <c r="L533"/>
      <c r="M533"/>
    </row>
    <row r="534" spans="1:13" s="16" customFormat="1" x14ac:dyDescent="0.3">
      <c r="A534" s="20"/>
      <c r="B534" s="20"/>
      <c r="L534"/>
      <c r="M534"/>
    </row>
    <row r="535" spans="1:13" s="16" customFormat="1" x14ac:dyDescent="0.3">
      <c r="A535" s="20"/>
      <c r="B535" s="20"/>
      <c r="L535"/>
      <c r="M535"/>
    </row>
    <row r="536" spans="1:13" s="16" customFormat="1" x14ac:dyDescent="0.3">
      <c r="A536" s="20"/>
      <c r="B536" s="20"/>
      <c r="L536"/>
      <c r="M536"/>
    </row>
    <row r="537" spans="1:13" s="16" customFormat="1" x14ac:dyDescent="0.3">
      <c r="A537" s="20"/>
      <c r="B537" s="20"/>
      <c r="L537"/>
      <c r="M537"/>
    </row>
    <row r="538" spans="1:13" s="16" customFormat="1" x14ac:dyDescent="0.3">
      <c r="A538" s="20"/>
      <c r="B538" s="20"/>
      <c r="L538"/>
      <c r="M538"/>
    </row>
    <row r="539" spans="1:13" s="16" customFormat="1" x14ac:dyDescent="0.3">
      <c r="A539" s="20"/>
      <c r="B539" s="20"/>
      <c r="L539"/>
      <c r="M539"/>
    </row>
    <row r="540" spans="1:13" s="16" customFormat="1" x14ac:dyDescent="0.3">
      <c r="A540" s="20"/>
      <c r="B540" s="20"/>
      <c r="L540"/>
      <c r="M540"/>
    </row>
    <row r="541" spans="1:13" s="16" customFormat="1" x14ac:dyDescent="0.3">
      <c r="A541" s="20"/>
      <c r="B541" s="20"/>
      <c r="L541"/>
      <c r="M541"/>
    </row>
    <row r="542" spans="1:13" s="16" customFormat="1" x14ac:dyDescent="0.3">
      <c r="A542" s="20"/>
      <c r="B542" s="20"/>
      <c r="L542"/>
      <c r="M542"/>
    </row>
    <row r="543" spans="1:13" s="16" customFormat="1" x14ac:dyDescent="0.3">
      <c r="A543" s="20"/>
      <c r="B543" s="20"/>
      <c r="L543"/>
      <c r="M543"/>
    </row>
    <row r="544" spans="1:13" s="16" customFormat="1" x14ac:dyDescent="0.3">
      <c r="A544" s="20"/>
      <c r="B544" s="20"/>
      <c r="L544"/>
      <c r="M544"/>
    </row>
    <row r="545" spans="1:13" s="16" customFormat="1" x14ac:dyDescent="0.3">
      <c r="A545" s="20"/>
      <c r="B545" s="20"/>
      <c r="L545"/>
      <c r="M545"/>
    </row>
    <row r="546" spans="1:13" s="16" customFormat="1" x14ac:dyDescent="0.3">
      <c r="A546" s="20"/>
      <c r="B546" s="20"/>
      <c r="L546"/>
      <c r="M546"/>
    </row>
    <row r="547" spans="1:13" s="16" customFormat="1" x14ac:dyDescent="0.3">
      <c r="A547" s="20"/>
      <c r="B547" s="20"/>
      <c r="L547"/>
      <c r="M547"/>
    </row>
    <row r="548" spans="1:13" s="16" customFormat="1" x14ac:dyDescent="0.3">
      <c r="A548" s="20"/>
      <c r="B548" s="20"/>
      <c r="L548"/>
      <c r="M548"/>
    </row>
    <row r="549" spans="1:13" s="16" customFormat="1" x14ac:dyDescent="0.3">
      <c r="A549" s="20"/>
      <c r="B549" s="20"/>
      <c r="L549"/>
      <c r="M549"/>
    </row>
    <row r="550" spans="1:13" s="16" customFormat="1" x14ac:dyDescent="0.3">
      <c r="A550" s="20"/>
      <c r="B550" s="20"/>
      <c r="L550"/>
      <c r="M550"/>
    </row>
    <row r="551" spans="1:13" s="16" customFormat="1" x14ac:dyDescent="0.3">
      <c r="A551" s="20"/>
      <c r="B551" s="20"/>
      <c r="L551"/>
      <c r="M551"/>
    </row>
    <row r="552" spans="1:13" s="16" customFormat="1" x14ac:dyDescent="0.3">
      <c r="A552" s="20"/>
      <c r="B552" s="20"/>
      <c r="L552"/>
      <c r="M552"/>
    </row>
    <row r="553" spans="1:13" s="16" customFormat="1" x14ac:dyDescent="0.3">
      <c r="A553" s="20"/>
      <c r="B553" s="20"/>
      <c r="L553"/>
      <c r="M553"/>
    </row>
    <row r="554" spans="1:13" s="16" customFormat="1" x14ac:dyDescent="0.3">
      <c r="A554" s="20"/>
      <c r="B554" s="20"/>
      <c r="L554"/>
      <c r="M554"/>
    </row>
    <row r="555" spans="1:13" s="16" customFormat="1" x14ac:dyDescent="0.3">
      <c r="A555" s="20"/>
      <c r="B555" s="20"/>
      <c r="L555"/>
      <c r="M555"/>
    </row>
    <row r="556" spans="1:13" s="16" customFormat="1" x14ac:dyDescent="0.3">
      <c r="A556" s="20"/>
      <c r="B556" s="20"/>
      <c r="L556"/>
      <c r="M556"/>
    </row>
    <row r="557" spans="1:13" s="16" customFormat="1" x14ac:dyDescent="0.3">
      <c r="A557" s="20"/>
      <c r="B557" s="20"/>
      <c r="L557"/>
      <c r="M557"/>
    </row>
    <row r="558" spans="1:13" s="16" customFormat="1" x14ac:dyDescent="0.3">
      <c r="A558" s="20"/>
      <c r="B558" s="20"/>
      <c r="L558"/>
      <c r="M558"/>
    </row>
    <row r="559" spans="1:13" s="16" customFormat="1" x14ac:dyDescent="0.3">
      <c r="A559" s="20"/>
      <c r="B559" s="20"/>
      <c r="L559"/>
      <c r="M559"/>
    </row>
    <row r="560" spans="1:13" s="16" customFormat="1" x14ac:dyDescent="0.3">
      <c r="A560" s="20"/>
      <c r="B560" s="20"/>
      <c r="L560"/>
      <c r="M560"/>
    </row>
    <row r="561" spans="1:13" s="16" customFormat="1" x14ac:dyDescent="0.3">
      <c r="A561" s="20"/>
      <c r="B561" s="20"/>
      <c r="L561"/>
      <c r="M561"/>
    </row>
    <row r="562" spans="1:13" s="16" customFormat="1" x14ac:dyDescent="0.3">
      <c r="A562" s="20"/>
      <c r="B562" s="20"/>
      <c r="L562"/>
      <c r="M562"/>
    </row>
    <row r="563" spans="1:13" s="16" customFormat="1" x14ac:dyDescent="0.3">
      <c r="A563" s="20"/>
      <c r="B563" s="20"/>
      <c r="L563"/>
      <c r="M563"/>
    </row>
    <row r="564" spans="1:13" s="16" customFormat="1" x14ac:dyDescent="0.3">
      <c r="A564" s="20"/>
      <c r="B564" s="20"/>
      <c r="L564"/>
      <c r="M564"/>
    </row>
    <row r="565" spans="1:13" s="16" customFormat="1" x14ac:dyDescent="0.3">
      <c r="A565" s="20"/>
      <c r="B565" s="20"/>
      <c r="L565"/>
      <c r="M565"/>
    </row>
    <row r="566" spans="1:13" s="16" customFormat="1" x14ac:dyDescent="0.3">
      <c r="A566" s="20"/>
      <c r="B566" s="20"/>
      <c r="L566"/>
      <c r="M566"/>
    </row>
    <row r="567" spans="1:13" s="16" customFormat="1" x14ac:dyDescent="0.3">
      <c r="A567" s="20"/>
      <c r="B567" s="20"/>
      <c r="L567"/>
      <c r="M567"/>
    </row>
    <row r="568" spans="1:13" s="16" customFormat="1" x14ac:dyDescent="0.3">
      <c r="A568" s="20"/>
      <c r="B568" s="20"/>
      <c r="L568"/>
      <c r="M568"/>
    </row>
    <row r="569" spans="1:13" s="16" customFormat="1" x14ac:dyDescent="0.3">
      <c r="A569" s="20"/>
      <c r="B569" s="20"/>
      <c r="L569"/>
      <c r="M569"/>
    </row>
    <row r="570" spans="1:13" s="16" customFormat="1" x14ac:dyDescent="0.3">
      <c r="A570" s="20"/>
      <c r="B570" s="20"/>
      <c r="L570"/>
      <c r="M570"/>
    </row>
    <row r="571" spans="1:13" s="16" customFormat="1" x14ac:dyDescent="0.3">
      <c r="A571" s="20"/>
      <c r="B571" s="20"/>
      <c r="L571"/>
      <c r="M571"/>
    </row>
    <row r="572" spans="1:13" s="16" customFormat="1" x14ac:dyDescent="0.3">
      <c r="A572" s="20"/>
      <c r="B572" s="20"/>
      <c r="L572"/>
      <c r="M572"/>
    </row>
    <row r="573" spans="1:13" s="16" customFormat="1" x14ac:dyDescent="0.3">
      <c r="A573" s="20"/>
      <c r="B573" s="20"/>
      <c r="L573"/>
      <c r="M573"/>
    </row>
    <row r="574" spans="1:13" s="16" customFormat="1" x14ac:dyDescent="0.3">
      <c r="A574" s="20"/>
      <c r="B574" s="20"/>
      <c r="L574"/>
      <c r="M574"/>
    </row>
    <row r="575" spans="1:13" s="16" customFormat="1" x14ac:dyDescent="0.3">
      <c r="A575" s="20"/>
      <c r="B575" s="20"/>
      <c r="L575"/>
      <c r="M575"/>
    </row>
    <row r="576" spans="1:13" s="16" customFormat="1" x14ac:dyDescent="0.3">
      <c r="A576" s="20"/>
      <c r="B576" s="20"/>
      <c r="L576"/>
      <c r="M576"/>
    </row>
    <row r="577" spans="1:13" s="16" customFormat="1" x14ac:dyDescent="0.3">
      <c r="A577" s="20"/>
      <c r="B577" s="20"/>
      <c r="L577"/>
      <c r="M577"/>
    </row>
    <row r="578" spans="1:13" s="16" customFormat="1" x14ac:dyDescent="0.3">
      <c r="A578" s="20"/>
      <c r="B578" s="20"/>
      <c r="L578"/>
      <c r="M578"/>
    </row>
    <row r="579" spans="1:13" s="16" customFormat="1" x14ac:dyDescent="0.3">
      <c r="A579" s="20"/>
      <c r="B579" s="20"/>
      <c r="L579"/>
      <c r="M579"/>
    </row>
    <row r="580" spans="1:13" s="16" customFormat="1" x14ac:dyDescent="0.3">
      <c r="A580" s="20"/>
      <c r="B580" s="20"/>
      <c r="L580"/>
      <c r="M580"/>
    </row>
    <row r="581" spans="1:13" s="16" customFormat="1" x14ac:dyDescent="0.3">
      <c r="A581" s="20"/>
      <c r="B581" s="20"/>
      <c r="L581"/>
      <c r="M581"/>
    </row>
    <row r="582" spans="1:13" s="16" customFormat="1" x14ac:dyDescent="0.3">
      <c r="A582" s="20"/>
      <c r="B582" s="20"/>
      <c r="L582"/>
      <c r="M582"/>
    </row>
    <row r="583" spans="1:13" s="16" customFormat="1" x14ac:dyDescent="0.3">
      <c r="A583" s="20"/>
      <c r="B583" s="20"/>
      <c r="L583"/>
      <c r="M583"/>
    </row>
    <row r="584" spans="1:13" s="16" customFormat="1" x14ac:dyDescent="0.3">
      <c r="A584" s="20"/>
      <c r="B584" s="20"/>
      <c r="L584"/>
      <c r="M584"/>
    </row>
    <row r="585" spans="1:13" s="16" customFormat="1" x14ac:dyDescent="0.3">
      <c r="A585" s="20"/>
      <c r="B585" s="20"/>
      <c r="L585"/>
      <c r="M585"/>
    </row>
    <row r="586" spans="1:13" s="16" customFormat="1" x14ac:dyDescent="0.3">
      <c r="A586" s="20"/>
      <c r="B586" s="20"/>
      <c r="L586"/>
      <c r="M586"/>
    </row>
    <row r="587" spans="1:13" s="16" customFormat="1" x14ac:dyDescent="0.3">
      <c r="A587" s="20"/>
      <c r="B587" s="20"/>
      <c r="L587"/>
      <c r="M587"/>
    </row>
    <row r="588" spans="1:13" s="16" customFormat="1" x14ac:dyDescent="0.3">
      <c r="A588" s="20"/>
      <c r="B588" s="20"/>
      <c r="L588"/>
      <c r="M588"/>
    </row>
    <row r="589" spans="1:13" s="16" customFormat="1" x14ac:dyDescent="0.3">
      <c r="A589" s="20"/>
      <c r="B589" s="20"/>
      <c r="L589"/>
      <c r="M589"/>
    </row>
    <row r="590" spans="1:13" s="16" customFormat="1" x14ac:dyDescent="0.3">
      <c r="A590" s="20"/>
      <c r="B590" s="20"/>
      <c r="L590"/>
      <c r="M590"/>
    </row>
    <row r="591" spans="1:13" s="16" customFormat="1" x14ac:dyDescent="0.3">
      <c r="A591" s="20"/>
      <c r="B591" s="20"/>
      <c r="L591"/>
      <c r="M591"/>
    </row>
    <row r="592" spans="1:13" s="16" customFormat="1" x14ac:dyDescent="0.3">
      <c r="A592" s="20"/>
      <c r="B592" s="20"/>
      <c r="L592"/>
      <c r="M592"/>
    </row>
    <row r="593" spans="1:13" s="16" customFormat="1" x14ac:dyDescent="0.3">
      <c r="A593" s="20"/>
      <c r="B593" s="20"/>
      <c r="L593"/>
      <c r="M593"/>
    </row>
    <row r="594" spans="1:13" s="16" customFormat="1" x14ac:dyDescent="0.3">
      <c r="A594" s="20"/>
      <c r="B594" s="20"/>
      <c r="L594"/>
      <c r="M594"/>
    </row>
    <row r="595" spans="1:13" s="16" customFormat="1" x14ac:dyDescent="0.3">
      <c r="A595" s="20"/>
      <c r="B595" s="20"/>
      <c r="L595"/>
      <c r="M595"/>
    </row>
    <row r="596" spans="1:13" s="16" customFormat="1" x14ac:dyDescent="0.3">
      <c r="A596" s="20"/>
      <c r="B596" s="20"/>
      <c r="L596"/>
      <c r="M596"/>
    </row>
    <row r="597" spans="1:13" s="16" customFormat="1" x14ac:dyDescent="0.3">
      <c r="A597" s="20"/>
      <c r="B597" s="20"/>
      <c r="L597"/>
      <c r="M597"/>
    </row>
    <row r="598" spans="1:13" s="16" customFormat="1" x14ac:dyDescent="0.3">
      <c r="A598" s="20"/>
      <c r="B598" s="20"/>
      <c r="L598"/>
      <c r="M598"/>
    </row>
    <row r="599" spans="1:13" s="16" customFormat="1" x14ac:dyDescent="0.3">
      <c r="A599" s="20"/>
      <c r="B599" s="20"/>
      <c r="L599"/>
      <c r="M599"/>
    </row>
    <row r="600" spans="1:13" s="16" customFormat="1" x14ac:dyDescent="0.3">
      <c r="A600" s="20"/>
      <c r="B600" s="20"/>
      <c r="L600"/>
      <c r="M600"/>
    </row>
    <row r="601" spans="1:13" s="16" customFormat="1" x14ac:dyDescent="0.3">
      <c r="A601" s="20"/>
      <c r="B601" s="20"/>
      <c r="L601"/>
      <c r="M601"/>
    </row>
    <row r="602" spans="1:13" s="16" customFormat="1" x14ac:dyDescent="0.3">
      <c r="A602" s="20"/>
      <c r="B602" s="20"/>
      <c r="L602"/>
      <c r="M602"/>
    </row>
    <row r="603" spans="1:13" s="16" customFormat="1" x14ac:dyDescent="0.3">
      <c r="A603" s="20"/>
      <c r="B603" s="20"/>
      <c r="L603"/>
      <c r="M603"/>
    </row>
    <row r="604" spans="1:13" s="16" customFormat="1" x14ac:dyDescent="0.3">
      <c r="A604" s="20"/>
      <c r="B604" s="20"/>
      <c r="L604"/>
      <c r="M604"/>
    </row>
    <row r="605" spans="1:13" s="16" customFormat="1" x14ac:dyDescent="0.3">
      <c r="A605" s="20"/>
      <c r="B605" s="20"/>
      <c r="L605"/>
      <c r="M605"/>
    </row>
    <row r="606" spans="1:13" s="16" customFormat="1" x14ac:dyDescent="0.3">
      <c r="A606" s="20"/>
      <c r="B606" s="20"/>
      <c r="L606"/>
      <c r="M606"/>
    </row>
    <row r="607" spans="1:13" s="16" customFormat="1" x14ac:dyDescent="0.3">
      <c r="A607" s="20"/>
      <c r="B607" s="20"/>
      <c r="L607"/>
      <c r="M607"/>
    </row>
    <row r="608" spans="1:13" s="16" customFormat="1" x14ac:dyDescent="0.3">
      <c r="A608" s="20"/>
      <c r="B608" s="20"/>
      <c r="L608"/>
      <c r="M608"/>
    </row>
    <row r="609" spans="1:13" s="16" customFormat="1" x14ac:dyDescent="0.3">
      <c r="A609" s="20"/>
      <c r="B609" s="20"/>
      <c r="L609"/>
      <c r="M609"/>
    </row>
    <row r="610" spans="1:13" s="16" customFormat="1" x14ac:dyDescent="0.3">
      <c r="A610" s="20"/>
      <c r="B610" s="20"/>
      <c r="L610"/>
      <c r="M610"/>
    </row>
  </sheetData>
  <phoneticPr fontId="6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Mohanad A</cp:lastModifiedBy>
  <dcterms:created xsi:type="dcterms:W3CDTF">2023-03-14T11:01:16Z</dcterms:created>
  <dcterms:modified xsi:type="dcterms:W3CDTF">2026-03-01T13:29:39Z</dcterms:modified>
</cp:coreProperties>
</file>