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512ADB1-3FD4-452E-AA66-453558F631E3}" xr6:coauthVersionLast="47" xr6:coauthVersionMax="47" xr10:uidLastSave="{00000000-0000-0000-0000-000000000000}"/>
  <bookViews>
    <workbookView xWindow="-28920" yWindow="660" windowWidth="29040" windowHeight="15720" xr2:uid="{E1435971-A588-45C3-BB00-83ACB915F087}"/>
  </bookViews>
  <sheets>
    <sheet name="Sheet1" sheetId="1" r:id="rId1"/>
  </sheets>
  <definedNames>
    <definedName name="d1_">Sheet1!$M$8</definedName>
    <definedName name="d2_">Sheet1!$M$9</definedName>
    <definedName name="K">Sheet1!$F$13</definedName>
    <definedName name="r_">Sheet1!$F$15</definedName>
    <definedName name="S">Sheet1!$F$12</definedName>
    <definedName name="T">Sheet1!$F$14</definedName>
    <definedName name="σ">Sheet1!$F$16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9" i="1"/>
  <c r="M4" i="1"/>
  <c r="M8" i="1"/>
</calcChain>
</file>

<file path=xl/sharedStrings.xml><?xml version="1.0" encoding="utf-8"?>
<sst xmlns="http://schemas.openxmlformats.org/spreadsheetml/2006/main" count="36" uniqueCount="36">
  <si>
    <t>Inputs</t>
  </si>
  <si>
    <t>Underlying price</t>
  </si>
  <si>
    <t>Strike Price</t>
  </si>
  <si>
    <t>Time to Expiration</t>
  </si>
  <si>
    <t>Risk Free Rate</t>
  </si>
  <si>
    <t>Volatility</t>
  </si>
  <si>
    <t>S</t>
  </si>
  <si>
    <t>K</t>
  </si>
  <si>
    <t>T</t>
  </si>
  <si>
    <t>r</t>
  </si>
  <si>
    <t>σ</t>
  </si>
  <si>
    <t>Normal CDF</t>
  </si>
  <si>
    <t>N(..)</t>
  </si>
  <si>
    <t>In</t>
  </si>
  <si>
    <t>Exponential (compounding factor)</t>
  </si>
  <si>
    <t>e</t>
  </si>
  <si>
    <t>Natural Log (log return)</t>
  </si>
  <si>
    <t>Pi</t>
  </si>
  <si>
    <t>π</t>
  </si>
  <si>
    <t>Formulas</t>
  </si>
  <si>
    <t>Calculations</t>
  </si>
  <si>
    <t>each figure defined as symbol</t>
  </si>
  <si>
    <t>Call</t>
  </si>
  <si>
    <t>Put</t>
  </si>
  <si>
    <t>c</t>
  </si>
  <si>
    <t>p</t>
  </si>
  <si>
    <t>d1</t>
  </si>
  <si>
    <t>d2</t>
  </si>
  <si>
    <t>p = K * e^(-rT) * N(-d2) - S0 * N(-d1)</t>
  </si>
  <si>
    <t>d2 = [ ln(S0 / K) + (r - σ^2 / 2) * T ] / (σ * √T) OR d2 = d1 - σ * √T</t>
  </si>
  <si>
    <t>d1 = [ ln(S0 / K) + (r + σ^2 / 2) * T ] / (σ * √T)</t>
  </si>
  <si>
    <t>c = S0 * N(d1) - K * e^(-rT) * N(d2)</t>
  </si>
  <si>
    <t>norm.dst(</t>
  </si>
  <si>
    <t>Mohanad Assali</t>
  </si>
  <si>
    <t>Last modified 2/17/2026</t>
  </si>
  <si>
    <t>Black–Scholes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</si>
</sst>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" fontId="0" fillId="0" borderId="1" xfId="0" applyNumberFormat="1" applyBorder="1"/>
    <xf numFmtId="168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5BBF-6AA0-43DB-BD59-AA520EA135B4}">
  <dimension ref="B1:O21"/>
  <sheetViews>
    <sheetView tabSelected="1" topLeftCell="B1" workbookViewId="0">
      <selection activeCell="J18" sqref="J18"/>
    </sheetView>
  </sheetViews>
  <sheetFormatPr defaultRowHeight="14.4" x14ac:dyDescent="0.3"/>
  <cols>
    <col min="1" max="16384" width="8.88671875" style="1"/>
  </cols>
  <sheetData>
    <row r="1" spans="2:15" x14ac:dyDescent="0.3">
      <c r="B1" s="9" t="s">
        <v>34</v>
      </c>
      <c r="C1" s="2"/>
      <c r="D1" s="2"/>
      <c r="E1" s="2"/>
      <c r="F1" s="2"/>
      <c r="G1" s="9" t="s">
        <v>35</v>
      </c>
      <c r="H1" s="2"/>
      <c r="I1" s="2"/>
      <c r="J1" s="2"/>
      <c r="K1" s="9" t="s">
        <v>33</v>
      </c>
      <c r="L1" s="2"/>
      <c r="M1" s="2"/>
      <c r="N1" s="2"/>
      <c r="O1" s="2"/>
    </row>
    <row r="3" spans="2:15" x14ac:dyDescent="0.3">
      <c r="C3" s="4" t="s">
        <v>19</v>
      </c>
      <c r="D3" s="5"/>
      <c r="E3" s="5"/>
      <c r="F3" s="5"/>
      <c r="G3" s="6"/>
      <c r="K3" s="4" t="s">
        <v>20</v>
      </c>
      <c r="L3" s="5"/>
      <c r="M3" s="5"/>
      <c r="N3" s="5"/>
      <c r="O3" s="6"/>
    </row>
    <row r="4" spans="2:15" x14ac:dyDescent="0.3">
      <c r="C4" s="1" t="s">
        <v>31</v>
      </c>
      <c r="K4" s="1" t="s">
        <v>22</v>
      </c>
      <c r="L4" s="1" t="s">
        <v>24</v>
      </c>
      <c r="M4" s="7">
        <f>(S*_xlfn.NORM.DIST(d1_,0,1, TRUE))-(K*EXP(-r_*T)*_xlfn.NORM.DIST(d2_,0,1,TRUE))</f>
        <v>4.7594223928715316</v>
      </c>
    </row>
    <row r="5" spans="2:15" x14ac:dyDescent="0.3">
      <c r="C5" s="1" t="s">
        <v>28</v>
      </c>
      <c r="K5" s="1" t="s">
        <v>23</v>
      </c>
      <c r="L5" s="1" t="s">
        <v>25</v>
      </c>
      <c r="M5" s="7">
        <f>K*EXP(-r_*T)*_xlfn.NORM.DIST(-d2_,0,1,TRUE)-S*_xlfn.NORM.DIST(-d1_,0,1,TRUE)</f>
        <v>0.80859937290009221</v>
      </c>
    </row>
    <row r="7" spans="2:15" x14ac:dyDescent="0.3">
      <c r="C7" s="1" t="s">
        <v>30</v>
      </c>
    </row>
    <row r="8" spans="2:15" x14ac:dyDescent="0.3">
      <c r="C8" s="1" t="s">
        <v>29</v>
      </c>
      <c r="L8" s="1" t="s">
        <v>26</v>
      </c>
      <c r="M8" s="8">
        <f>(LN(S/K)+(r_+σ^2/2)*T)/(σ*T^0.5)</f>
        <v>0.76926262810603152</v>
      </c>
    </row>
    <row r="9" spans="2:15" x14ac:dyDescent="0.3">
      <c r="L9" s="1" t="s">
        <v>27</v>
      </c>
      <c r="M9" s="8">
        <f>d1_-σ*T^0.5</f>
        <v>0.62784127186872196</v>
      </c>
    </row>
    <row r="11" spans="2:15" x14ac:dyDescent="0.3">
      <c r="C11" s="4" t="s">
        <v>0</v>
      </c>
      <c r="D11" s="5"/>
      <c r="E11" s="5"/>
      <c r="F11" s="5"/>
      <c r="G11" s="6"/>
    </row>
    <row r="12" spans="2:15" x14ac:dyDescent="0.3">
      <c r="C12" s="1" t="s">
        <v>1</v>
      </c>
      <c r="E12" s="3" t="s">
        <v>6</v>
      </c>
      <c r="F12" s="1">
        <v>42</v>
      </c>
      <c r="G12" s="1" t="s">
        <v>21</v>
      </c>
    </row>
    <row r="13" spans="2:15" x14ac:dyDescent="0.3">
      <c r="C13" s="1" t="s">
        <v>2</v>
      </c>
      <c r="E13" s="3" t="s">
        <v>7</v>
      </c>
      <c r="F13" s="1">
        <v>40</v>
      </c>
    </row>
    <row r="14" spans="2:15" x14ac:dyDescent="0.3">
      <c r="C14" s="1" t="s">
        <v>3</v>
      </c>
      <c r="E14" s="3" t="s">
        <v>8</v>
      </c>
      <c r="F14" s="1">
        <v>0.5</v>
      </c>
    </row>
    <row r="15" spans="2:15" x14ac:dyDescent="0.3">
      <c r="C15" s="1" t="s">
        <v>4</v>
      </c>
      <c r="E15" s="3" t="s">
        <v>9</v>
      </c>
      <c r="F15" s="1">
        <v>0.1</v>
      </c>
    </row>
    <row r="16" spans="2:15" x14ac:dyDescent="0.3">
      <c r="C16" s="1" t="s">
        <v>5</v>
      </c>
      <c r="E16" s="3" t="s">
        <v>10</v>
      </c>
      <c r="F16" s="1">
        <v>0.2</v>
      </c>
    </row>
    <row r="17" spans="3:6" x14ac:dyDescent="0.3">
      <c r="E17" s="3"/>
    </row>
    <row r="18" spans="3:6" x14ac:dyDescent="0.3">
      <c r="C18" s="1" t="s">
        <v>11</v>
      </c>
      <c r="E18" s="3" t="s">
        <v>12</v>
      </c>
      <c r="F18" s="1" t="s">
        <v>32</v>
      </c>
    </row>
    <row r="19" spans="3:6" x14ac:dyDescent="0.3">
      <c r="C19" s="1" t="s">
        <v>16</v>
      </c>
      <c r="E19" s="3" t="s">
        <v>13</v>
      </c>
    </row>
    <row r="20" spans="3:6" x14ac:dyDescent="0.3">
      <c r="C20" s="1" t="s">
        <v>14</v>
      </c>
      <c r="E20" s="3" t="s">
        <v>15</v>
      </c>
    </row>
    <row r="21" spans="3:6" x14ac:dyDescent="0.3">
      <c r="C21" s="1" t="s">
        <v>17</v>
      </c>
      <c r="E21" s="3" t="s">
        <v>18</v>
      </c>
      <c r="F21" s="1">
        <v>3.14</v>
      </c>
    </row>
  </sheetData>
  <mergeCells count="3">
    <mergeCell ref="C11:G11"/>
    <mergeCell ref="C3:G3"/>
    <mergeCell ref="K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d1_</vt:lpstr>
      <vt:lpstr>d2_</vt:lpstr>
      <vt:lpstr>K</vt:lpstr>
      <vt:lpstr>r_</vt:lpstr>
      <vt:lpstr>S</vt:lpstr>
      <vt:lpstr>T</vt:lpstr>
      <vt:lpstr>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2026-02-17T06:26:28Z</dcterms:created>
  <dcterms:modified xsi:type="dcterms:W3CDTF">2026-02-17T08:02:24Z</dcterms:modified>
</cp:coreProperties>
</file>