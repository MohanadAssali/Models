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0EDF739-205B-4E87-A90B-990B3959E0B0}" xr6:coauthVersionLast="47" xr6:coauthVersionMax="47" xr10:uidLastSave="{00000000-0000-0000-0000-000000000000}"/>
  <bookViews>
    <workbookView xWindow="-28920" yWindow="660" windowWidth="29040" windowHeight="15720" xr2:uid="{7D111109-3D70-447B-AE4B-E140D8F43BB4}"/>
  </bookViews>
  <sheets>
    <sheet name="NNS Model" sheetId="1" r:id="rId1"/>
  </sheets>
  <definedNames>
    <definedName name="solver_adj" localSheetId="0" hidden="1">'NNS Model'!$D$13:$D$18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'NNS Model'!$D$15</definedName>
    <definedName name="solver_lhs2" localSheetId="0" hidden="1">'NNS Model'!$D$15</definedName>
    <definedName name="solver_lhs3" localSheetId="0" hidden="1">'NNS Model'!$D$16</definedName>
    <definedName name="solver_lhs4" localSheetId="0" hidden="1">'NNS Model'!$D$16</definedName>
    <definedName name="solver_lhs5" localSheetId="0" hidden="1">'NNS Model'!$D$17</definedName>
    <definedName name="solver_lhs6" localSheetId="0" hidden="1">'NNS Model'!$D$18</definedName>
    <definedName name="solver_lhs7" localSheetId="0" hidden="1">'NNS Model'!$D$18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'NNS Model'!$J$25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3</definedName>
    <definedName name="solver_rel6" localSheetId="0" hidden="1">1</definedName>
    <definedName name="solver_rel7" localSheetId="0" hidden="1">3</definedName>
    <definedName name="solver_rhs1" localSheetId="0" hidden="1">0.05</definedName>
    <definedName name="solver_rhs2" localSheetId="0" hidden="1">-0.05</definedName>
    <definedName name="solver_rhs3" localSheetId="0" hidden="1">0.05</definedName>
    <definedName name="solver_rhs4" localSheetId="0" hidden="1">-0.05</definedName>
    <definedName name="solver_rhs5" localSheetId="0" hidden="1">0.5</definedName>
    <definedName name="solver_rhs6" localSheetId="0" hidden="1">30</definedName>
    <definedName name="solver_rhs7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D32" i="1" l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31" i="1"/>
  <c r="D30" i="1"/>
  <c r="H10" i="1"/>
  <c r="D24" i="1" l="1"/>
  <c r="D23" i="1"/>
  <c r="D22" i="1"/>
  <c r="D21" i="1"/>
  <c r="C24" i="1"/>
  <c r="G24" i="1" s="1"/>
  <c r="C23" i="1"/>
  <c r="G23" i="1" s="1"/>
  <c r="C22" i="1"/>
  <c r="G22" i="1" s="1"/>
  <c r="C21" i="1"/>
  <c r="G21" i="1" s="1"/>
  <c r="E21" i="1" l="1"/>
  <c r="F21" i="1" s="1"/>
  <c r="H21" i="1" s="1"/>
  <c r="I21" i="1" s="1"/>
  <c r="J21" i="1" s="1"/>
  <c r="E22" i="1"/>
  <c r="F22" i="1" s="1"/>
  <c r="H22" i="1" s="1"/>
  <c r="I22" i="1" s="1"/>
  <c r="J22" i="1" s="1"/>
  <c r="E23" i="1"/>
  <c r="F23" i="1" s="1"/>
  <c r="H23" i="1" s="1"/>
  <c r="I23" i="1" s="1"/>
  <c r="J23" i="1" s="1"/>
  <c r="E24" i="1"/>
  <c r="F24" i="1" s="1"/>
  <c r="H24" i="1" s="1"/>
  <c r="I24" i="1" s="1"/>
  <c r="J24" i="1" s="1"/>
  <c r="J25" i="1" l="1"/>
</calcChain>
</file>

<file path=xl/sharedStrings.xml><?xml version="1.0" encoding="utf-8"?>
<sst xmlns="http://schemas.openxmlformats.org/spreadsheetml/2006/main" count="34" uniqueCount="31">
  <si>
    <t>NNS</t>
  </si>
  <si>
    <t>Maturity</t>
  </si>
  <si>
    <t>Market Yield</t>
  </si>
  <si>
    <t>Level</t>
  </si>
  <si>
    <t>Slope</t>
  </si>
  <si>
    <t>Curvature 1</t>
  </si>
  <si>
    <t>Curvature 2</t>
  </si>
  <si>
    <t>Tau1</t>
  </si>
  <si>
    <t>Tau2</t>
  </si>
  <si>
    <t>Decay</t>
  </si>
  <si>
    <t>NSS Predicted</t>
  </si>
  <si>
    <t>Errors</t>
  </si>
  <si>
    <t>`</t>
  </si>
  <si>
    <t>Mk yield</t>
  </si>
  <si>
    <t>Hump1</t>
  </si>
  <si>
    <t>Hump2</t>
  </si>
  <si>
    <t>Inputs</t>
  </si>
  <si>
    <t>β0</t>
  </si>
  <si>
    <t>β1</t>
  </si>
  <si>
    <t>β2</t>
  </si>
  <si>
    <t>β3</t>
  </si>
  <si>
    <t>τ1</t>
  </si>
  <si>
    <t>τ2</t>
  </si>
  <si>
    <t>Squared Errors</t>
  </si>
  <si>
    <t>total error</t>
  </si>
  <si>
    <t>Predicted yield</t>
  </si>
  <si>
    <t>Interpolated Yield</t>
  </si>
  <si>
    <t>Nelson-Siegel-Svensson (NSS) Model</t>
  </si>
  <si>
    <t>Mohanad Assali</t>
  </si>
  <si>
    <t>Last modified 3/7/2026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</si>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</sst>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0.00000"/>
    <numFmt numFmtId="167" formatCode="0.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0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0" xfId="0" applyFont="1"/>
    <xf numFmtId="0" fontId="0" fillId="0" borderId="16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9" fillId="33" borderId="0" xfId="0" applyFont="1" applyFill="1"/>
    <xf numFmtId="0" fontId="16" fillId="0" borderId="0" xfId="0" applyFont="1"/>
    <xf numFmtId="0" fontId="0" fillId="35" borderId="17" xfId="0" applyFill="1" applyBorder="1"/>
    <xf numFmtId="0" fontId="0" fillId="35" borderId="17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18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'NNS Model'!$C$30:$C$45</c:f>
              <c:numCache>
                <c:formatCode>General</c:formatCode>
                <c:ptCount val="16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25</c:v>
                </c:pt>
                <c:pt idx="15">
                  <c:v>30</c:v>
                </c:pt>
              </c:numCache>
            </c:numRef>
          </c:xVal>
          <c:yVal>
            <c:numRef>
              <c:f>'NNS Model'!$D$30:$D$45</c:f>
              <c:numCache>
                <c:formatCode>0.000%</c:formatCode>
                <c:ptCount val="16"/>
                <c:pt idx="0">
                  <c:v>0.10033197918472291</c:v>
                </c:pt>
                <c:pt idx="1">
                  <c:v>6.5492162131689499E-2</c:v>
                </c:pt>
                <c:pt idx="2">
                  <c:v>4.697656405342112E-2</c:v>
                </c:pt>
                <c:pt idx="3">
                  <c:v>3.6857950414678341E-2</c:v>
                </c:pt>
                <c:pt idx="4">
                  <c:v>3.3437142958879916E-2</c:v>
                </c:pt>
                <c:pt idx="5">
                  <c:v>3.1967694695111432E-2</c:v>
                </c:pt>
                <c:pt idx="6">
                  <c:v>3.1330441594049512E-2</c:v>
                </c:pt>
                <c:pt idx="7">
                  <c:v>3.1093587337532567E-2</c:v>
                </c:pt>
                <c:pt idx="8">
                  <c:v>3.1055636880591486E-2</c:v>
                </c:pt>
                <c:pt idx="9">
                  <c:v>3.1114600747306525E-2</c:v>
                </c:pt>
                <c:pt idx="10">
                  <c:v>3.121718275124865E-2</c:v>
                </c:pt>
                <c:pt idx="11">
                  <c:v>3.1335444047975329E-2</c:v>
                </c:pt>
                <c:pt idx="12">
                  <c:v>3.1856641565763372E-2</c:v>
                </c:pt>
                <c:pt idx="13">
                  <c:v>3.2175416444078779E-2</c:v>
                </c:pt>
                <c:pt idx="14">
                  <c:v>3.2372221650263579E-2</c:v>
                </c:pt>
                <c:pt idx="15">
                  <c:v>3.2503921752330849E-2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9-4AA5-8D1C-8CE4EE3567C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"/>
            <c:marker>
              <c:symbol val="square"/>
              <c:size val="10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1F9-4AA5-8D1C-8CE4EE3567C8}"/>
              </c:ext>
            </c:extLst>
          </c:dPt>
          <c:xVal>
            <c:numRef>
              <c:f>'NNS Model'!$C$21:$C$24</c:f>
              <c:numCache>
                <c:formatCode>General</c:formatCode>
                <c:ptCount val="4"/>
                <c:pt idx="0">
                  <c:v>0.25</c:v>
                </c:pt>
                <c:pt idx="1">
                  <c:v>5</c:v>
                </c:pt>
                <c:pt idx="2">
                  <c:v>10</c:v>
                </c:pt>
                <c:pt idx="3">
                  <c:v>30</c:v>
                </c:pt>
              </c:numCache>
            </c:numRef>
          </c:xVal>
          <c:yVal>
            <c:numRef>
              <c:f>'NNS Model'!$H$21:$H$24</c:f>
              <c:numCache>
                <c:formatCode>0.00%</c:formatCode>
                <c:ptCount val="4"/>
                <c:pt idx="0">
                  <c:v>3.6003679892803661E-2</c:v>
                </c:pt>
                <c:pt idx="1">
                  <c:v>3.6703365556534612E-2</c:v>
                </c:pt>
                <c:pt idx="2">
                  <c:v>4.0685240331034087E-2</c:v>
                </c:pt>
                <c:pt idx="3">
                  <c:v>4.7273132552480515E-2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F9-4AA5-8D1C-8CE4EE356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70688"/>
        <c:axId val="555174288"/>
      </c:scatterChart>
      <c:valAx>
        <c:axId val="55517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174288"/>
        <c:crosses val="autoZero"/>
        <c:crossBetween val="midCat"/>
      </c:valAx>
      <c:valAx>
        <c:axId val="5551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17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337279</xdr:colOff>
      <xdr:row>26</xdr:row>
      <xdr:rowOff>171310</xdr:rowOff>
    </xdr:from>
    <xdr:to>
      <xdr:col>21</xdr:col>
      <xdr:colOff>78989</xdr:colOff>
      <xdr:row>41</xdr:row>
      <xdr:rowOff>124800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AFA89-F11B-7931-B6E9-9E92B6EAB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B20E-2FAE-401F-A944-878396C8A1DC}">
  <dimension ref="A1:AJ208"/>
  <sheetViews>
    <sheetView tabSelected="1" topLeftCell="A13" zoomScale="82" zoomScaleNormal="82" workbookViewId="0">
      <selection activeCell="R44" sqref="R44:S44"/>
    </sheetView>
  </sheetViews>
  <sheetFormatPr defaultRowHeight="14.4" x14ac:dyDescent="0.3"/>
  <cols>
    <col min="1" max="1" width="5.21875" style="7" customWidth="1"/>
    <col min="8" max="8" width="8.88671875" customWidth="1"/>
    <col min="12" max="12" width="1.5546875" customWidth="1"/>
    <col min="13" max="13" width="1" customWidth="1"/>
    <col min="14" max="36" width="8.88671875" style="3"/>
  </cols>
  <sheetData>
    <row r="1" spans="2:13" x14ac:dyDescent="0.3">
      <c r="B1" s="15" t="s">
        <v>29</v>
      </c>
      <c r="C1" s="2"/>
      <c r="D1" s="2"/>
      <c r="E1" s="15" t="s">
        <v>27</v>
      </c>
      <c r="F1" s="15"/>
      <c r="G1" s="2"/>
      <c r="H1" s="2"/>
      <c r="I1" s="15" t="s">
        <v>28</v>
      </c>
      <c r="J1" s="2"/>
      <c r="K1" s="2"/>
      <c r="L1" s="4"/>
      <c r="M1" s="4"/>
    </row>
    <row r="2" spans="2:13" x14ac:dyDescent="0.3">
      <c r="B2" s="10" t="s">
        <v>0</v>
      </c>
      <c r="L2" s="4"/>
      <c r="M2" s="4"/>
    </row>
    <row r="3" spans="2:13" x14ac:dyDescent="0.3">
      <c r="L3" s="4"/>
      <c r="M3" s="4"/>
    </row>
    <row r="4" spans="2:13" x14ac:dyDescent="0.3">
      <c r="L4" s="4"/>
      <c r="M4" s="4"/>
    </row>
    <row r="5" spans="2:13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</row>
    <row r="6" spans="2:13" x14ac:dyDescent="0.3">
      <c r="L6" s="5"/>
      <c r="M6" s="4"/>
    </row>
    <row r="7" spans="2:13" x14ac:dyDescent="0.3">
      <c r="C7" s="11" t="s">
        <v>1</v>
      </c>
      <c r="D7" s="11" t="s">
        <v>13</v>
      </c>
      <c r="L7" s="5"/>
      <c r="M7" s="4"/>
    </row>
    <row r="8" spans="2:13" x14ac:dyDescent="0.3">
      <c r="C8">
        <v>0.25</v>
      </c>
      <c r="D8" s="13">
        <v>3.5999999999999997E-2</v>
      </c>
      <c r="L8" s="5"/>
      <c r="M8" s="4"/>
    </row>
    <row r="9" spans="2:13" x14ac:dyDescent="0.3">
      <c r="C9">
        <v>5</v>
      </c>
      <c r="D9" s="13">
        <v>3.6700000000000003E-2</v>
      </c>
      <c r="G9" s="17" t="s">
        <v>1</v>
      </c>
      <c r="H9" s="18" t="s">
        <v>26</v>
      </c>
      <c r="I9" s="18"/>
      <c r="L9" s="5"/>
      <c r="M9" s="4"/>
    </row>
    <row r="10" spans="2:13" x14ac:dyDescent="0.3">
      <c r="C10">
        <v>10</v>
      </c>
      <c r="D10" s="13">
        <v>4.0800000000000003E-2</v>
      </c>
      <c r="F10" s="16" t="s">
        <v>30</v>
      </c>
      <c r="G10" s="19">
        <v>7</v>
      </c>
      <c r="H10" s="20">
        <f>$D$13 + ($D$14 * (1-EXP(-$D$18*G10))/($D$17*G10)) + ($D$15 * ((1-EXP(-$D$17*G10))/($D$17*G10) - EXP(-$D$17*G10))) + ($D$16 * ((1-EXP(-$D$18*G10))/($D$18*G10) - EXP(-$D$18*G10)))</f>
        <v>3.1055636880591486E-2</v>
      </c>
      <c r="I10" s="20"/>
      <c r="L10" s="5"/>
      <c r="M10" s="4"/>
    </row>
    <row r="11" spans="2:13" x14ac:dyDescent="0.3">
      <c r="C11">
        <v>30</v>
      </c>
      <c r="D11" s="13">
        <v>4.7199999999999999E-2</v>
      </c>
      <c r="L11" s="5"/>
      <c r="M11" s="4"/>
    </row>
    <row r="12" spans="2:13" x14ac:dyDescent="0.3">
      <c r="C12" s="11" t="s">
        <v>16</v>
      </c>
      <c r="D12" s="11"/>
      <c r="L12" s="5"/>
      <c r="M12" s="4"/>
    </row>
    <row r="13" spans="2:13" x14ac:dyDescent="0.3">
      <c r="B13" t="s">
        <v>17</v>
      </c>
      <c r="C13" t="s">
        <v>3</v>
      </c>
      <c r="D13" s="12">
        <v>3.3162757503929906E-2</v>
      </c>
      <c r="L13" s="5"/>
      <c r="M13" s="4"/>
    </row>
    <row r="14" spans="2:13" x14ac:dyDescent="0.3">
      <c r="B14" t="s">
        <v>18</v>
      </c>
      <c r="C14" t="s">
        <v>4</v>
      </c>
      <c r="D14" s="12">
        <v>7.5040415930414618E-3</v>
      </c>
      <c r="L14" s="5"/>
      <c r="M14" s="4"/>
    </row>
    <row r="15" spans="2:13" x14ac:dyDescent="0.3">
      <c r="B15" t="s">
        <v>19</v>
      </c>
      <c r="C15" t="s">
        <v>5</v>
      </c>
      <c r="D15" s="12">
        <v>-1.8454170018679442E-2</v>
      </c>
      <c r="L15" s="5"/>
      <c r="M15" s="4"/>
    </row>
    <row r="16" spans="2:13" x14ac:dyDescent="0.3">
      <c r="B16" t="s">
        <v>20</v>
      </c>
      <c r="C16" t="s">
        <v>6</v>
      </c>
      <c r="D16" s="12">
        <v>4.9955368466362247E-2</v>
      </c>
      <c r="L16" s="5"/>
      <c r="M16" s="4"/>
    </row>
    <row r="17" spans="2:13" x14ac:dyDescent="0.3">
      <c r="B17" t="s">
        <v>21</v>
      </c>
      <c r="C17" t="s">
        <v>7</v>
      </c>
      <c r="D17" s="12">
        <v>0.5</v>
      </c>
      <c r="L17" s="5"/>
      <c r="M17" s="4"/>
    </row>
    <row r="18" spans="2:13" x14ac:dyDescent="0.3">
      <c r="B18" t="s">
        <v>22</v>
      </c>
      <c r="C18" t="s">
        <v>8</v>
      </c>
      <c r="D18" s="12">
        <v>23.398258960784425</v>
      </c>
      <c r="L18" s="5"/>
      <c r="M18" s="4"/>
    </row>
    <row r="19" spans="2:13" x14ac:dyDescent="0.3">
      <c r="L19" s="5"/>
      <c r="M19" s="4"/>
    </row>
    <row r="20" spans="2:13" x14ac:dyDescent="0.3">
      <c r="C20" s="11" t="s">
        <v>1</v>
      </c>
      <c r="D20" s="11" t="s">
        <v>2</v>
      </c>
      <c r="E20" s="11" t="s">
        <v>9</v>
      </c>
      <c r="F20" s="11" t="s">
        <v>14</v>
      </c>
      <c r="G20" s="11" t="s">
        <v>15</v>
      </c>
      <c r="H20" s="11" t="s">
        <v>10</v>
      </c>
      <c r="I20" s="11" t="s">
        <v>11</v>
      </c>
      <c r="J20" s="11" t="s">
        <v>23</v>
      </c>
      <c r="L20" s="5"/>
      <c r="M20" s="4"/>
    </row>
    <row r="21" spans="2:13" x14ac:dyDescent="0.3">
      <c r="C21">
        <f>C8</f>
        <v>0.25</v>
      </c>
      <c r="D21" s="1">
        <f>D8</f>
        <v>3.5999999999999997E-2</v>
      </c>
      <c r="E21" s="1">
        <f>(1-EXP(-C21/$D$17))/(C21/$D$17)</f>
        <v>0.78693868057473315</v>
      </c>
      <c r="F21" s="1">
        <f>E21-EXP(-C21/$D$17)</f>
        <v>0.18040802086209973</v>
      </c>
      <c r="G21" s="1">
        <f>((1-EXP(-C21/$D$18))/(C21/$D$18))-EXP(-C21/$D$18)</f>
        <v>5.3043766170771667E-3</v>
      </c>
      <c r="H21" s="1">
        <f>$D$13+($D$14*E21)+($D$15*F21)+($D$16*G21)</f>
        <v>3.6003679892803661E-2</v>
      </c>
      <c r="I21" s="1">
        <f>D21-H21</f>
        <v>-3.6798928036638201E-6</v>
      </c>
      <c r="J21" s="14">
        <f>I21^2</f>
        <v>1.3541611046456771E-11</v>
      </c>
      <c r="L21" s="5"/>
      <c r="M21" s="4"/>
    </row>
    <row r="22" spans="2:13" x14ac:dyDescent="0.3">
      <c r="C22">
        <f t="shared" ref="C22:D24" si="0">C9</f>
        <v>5</v>
      </c>
      <c r="D22" s="1">
        <f t="shared" si="0"/>
        <v>3.6700000000000003E-2</v>
      </c>
      <c r="E22" s="1">
        <f t="shared" ref="E22:E24" si="1">(1-EXP(-C22/$D$17))/(C22/$D$17)</f>
        <v>9.9995460007023751E-2</v>
      </c>
      <c r="F22" s="1">
        <f t="shared" ref="F22:F24" si="2">E22-EXP(-C22/$D$17)</f>
        <v>9.995006007726126E-2</v>
      </c>
      <c r="G22" s="1">
        <f t="shared" ref="G22:G24" si="3">((1-EXP(-C22/$D$18))/(C22/$D$18))-EXP(-C22/$D$18)</f>
        <v>9.2777483300128583E-2</v>
      </c>
      <c r="H22" s="1">
        <f t="shared" ref="H22:H24" si="4">$D$13+($D$14*E22)+($D$15*F22)+($D$16*G22)</f>
        <v>3.6703365556534612E-2</v>
      </c>
      <c r="I22" s="1">
        <f t="shared" ref="I22:I24" si="5">D22-H22</f>
        <v>-3.3655565346082938E-6</v>
      </c>
      <c r="J22" s="14">
        <f t="shared" ref="J22:J24" si="6">I22^2</f>
        <v>1.1326970787644588E-11</v>
      </c>
      <c r="L22" s="5"/>
      <c r="M22" s="4"/>
    </row>
    <row r="23" spans="2:13" x14ac:dyDescent="0.3">
      <c r="C23">
        <f t="shared" si="0"/>
        <v>10</v>
      </c>
      <c r="D23" s="1">
        <f t="shared" si="0"/>
        <v>4.0800000000000003E-2</v>
      </c>
      <c r="E23" s="1">
        <f t="shared" si="1"/>
        <v>4.9999999896942322E-2</v>
      </c>
      <c r="F23" s="1">
        <f t="shared" si="2"/>
        <v>4.99999978357887E-2</v>
      </c>
      <c r="G23" s="1">
        <f t="shared" si="3"/>
        <v>0.16154398329890585</v>
      </c>
      <c r="H23" s="1">
        <f t="shared" si="4"/>
        <v>4.0685240331034087E-2</v>
      </c>
      <c r="I23" s="1">
        <f t="shared" si="5"/>
        <v>1.1475966896591638E-4</v>
      </c>
      <c r="J23" s="14">
        <f t="shared" si="6"/>
        <v>1.3169781621166713E-8</v>
      </c>
      <c r="L23" s="5"/>
      <c r="M23" s="4"/>
    </row>
    <row r="24" spans="2:13" x14ac:dyDescent="0.3">
      <c r="C24">
        <f t="shared" si="0"/>
        <v>30</v>
      </c>
      <c r="D24" s="1">
        <f t="shared" si="0"/>
        <v>4.7199999999999999E-2</v>
      </c>
      <c r="E24" s="1">
        <f t="shared" si="1"/>
        <v>1.6666666666666666E-2</v>
      </c>
      <c r="F24" s="1">
        <f t="shared" si="2"/>
        <v>1.6666666666666666E-2</v>
      </c>
      <c r="G24" s="1">
        <f t="shared" si="3"/>
        <v>0.28611293696296319</v>
      </c>
      <c r="H24" s="1">
        <f t="shared" si="4"/>
        <v>4.7273132552480515E-2</v>
      </c>
      <c r="I24" s="1">
        <f t="shared" si="5"/>
        <v>-7.3132552480516255E-5</v>
      </c>
      <c r="J24" s="14">
        <f t="shared" si="6"/>
        <v>5.348370232315464E-9</v>
      </c>
      <c r="L24" s="5"/>
      <c r="M24" s="4"/>
    </row>
    <row r="25" spans="2:13" x14ac:dyDescent="0.3">
      <c r="I25" s="1" t="s">
        <v>24</v>
      </c>
      <c r="J25" s="1">
        <f>SUM(J21:J24)</f>
        <v>1.8543020435316277E-8</v>
      </c>
      <c r="L25" s="4"/>
      <c r="M25" s="4"/>
    </row>
    <row r="26" spans="2:13" x14ac:dyDescent="0.3">
      <c r="I26" s="1"/>
      <c r="J26" s="1"/>
      <c r="L26" s="4"/>
      <c r="M26" s="4"/>
    </row>
    <row r="27" spans="2:13" x14ac:dyDescent="0.3">
      <c r="I27" s="1"/>
      <c r="J27" s="1"/>
      <c r="L27" s="4"/>
      <c r="M27" s="4"/>
    </row>
    <row r="28" spans="2:13" x14ac:dyDescent="0.3">
      <c r="I28" s="1"/>
      <c r="J28" s="1"/>
      <c r="L28" s="4"/>
      <c r="M28" s="4"/>
    </row>
    <row r="29" spans="2:13" x14ac:dyDescent="0.3">
      <c r="C29" s="11" t="s">
        <v>1</v>
      </c>
      <c r="D29" s="21" t="s">
        <v>25</v>
      </c>
      <c r="E29" s="21"/>
      <c r="I29" s="1"/>
      <c r="J29" s="1"/>
      <c r="L29" s="4"/>
      <c r="M29" s="4"/>
    </row>
    <row r="30" spans="2:13" x14ac:dyDescent="0.3">
      <c r="C30">
        <v>0.25</v>
      </c>
      <c r="D30" s="23">
        <f>$D$13 + ($D$14 * (1-EXP(-$D$18*C30))/($D$17*C30)) + ($D$15 * ((1-EXP(-$D$17*C30))/($D$17*C30) - EXP(-$D$17*C30))) + ($D$16 * ((1-EXP(-$D$18*C30))/($D$18*C30) - EXP(-$D$18*C30)))</f>
        <v>0.10033197918472291</v>
      </c>
      <c r="E30" s="23"/>
      <c r="I30" s="1"/>
      <c r="J30" s="1"/>
      <c r="L30" s="4"/>
      <c r="M30" s="4"/>
    </row>
    <row r="31" spans="2:13" x14ac:dyDescent="0.3">
      <c r="C31">
        <v>0.5</v>
      </c>
      <c r="D31" s="22">
        <f t="shared" ref="D31:D45" si="7">$D$13 + ($D$14 * (1-EXP(-$D$18*C31))/($D$17*C31)) + ($D$15 * ((1-EXP(-$D$17*C31))/($D$17*C31) - EXP(-$D$17*C31))) + ($D$16 * ((1-EXP(-$D$18*C31))/($D$18*C31) - EXP(-$D$18*C31)))</f>
        <v>6.5492162131689499E-2</v>
      </c>
      <c r="E31" s="22"/>
      <c r="I31" s="1"/>
      <c r="J31" s="1"/>
      <c r="L31" s="4"/>
      <c r="M31" s="4"/>
    </row>
    <row r="32" spans="2:13" x14ac:dyDescent="0.3">
      <c r="C32">
        <v>1</v>
      </c>
      <c r="D32" s="22">
        <f t="shared" si="7"/>
        <v>4.697656405342112E-2</v>
      </c>
      <c r="E32" s="22"/>
      <c r="I32" s="1"/>
      <c r="J32" s="1"/>
      <c r="L32" s="4"/>
      <c r="M32" s="4"/>
    </row>
    <row r="33" spans="3:13" x14ac:dyDescent="0.3">
      <c r="C33">
        <v>2</v>
      </c>
      <c r="D33" s="22">
        <f t="shared" si="7"/>
        <v>3.6857950414678341E-2</v>
      </c>
      <c r="E33" s="22"/>
      <c r="I33" s="1"/>
      <c r="J33" s="1"/>
      <c r="L33" s="4"/>
      <c r="M33" s="4"/>
    </row>
    <row r="34" spans="3:13" x14ac:dyDescent="0.3">
      <c r="C34">
        <v>3</v>
      </c>
      <c r="D34" s="22">
        <f t="shared" si="7"/>
        <v>3.3437142958879916E-2</v>
      </c>
      <c r="E34" s="22"/>
      <c r="I34" s="1"/>
      <c r="J34" s="1"/>
      <c r="L34" s="4"/>
      <c r="M34" s="4"/>
    </row>
    <row r="35" spans="3:13" x14ac:dyDescent="0.3">
      <c r="C35">
        <v>4</v>
      </c>
      <c r="D35" s="22">
        <f t="shared" si="7"/>
        <v>3.1967694695111432E-2</v>
      </c>
      <c r="E35" s="22"/>
      <c r="I35" s="1"/>
      <c r="J35" s="1"/>
      <c r="L35" s="4"/>
      <c r="M35" s="4"/>
    </row>
    <row r="36" spans="3:13" x14ac:dyDescent="0.3">
      <c r="C36">
        <v>5</v>
      </c>
      <c r="D36" s="22">
        <f t="shared" si="7"/>
        <v>3.1330441594049512E-2</v>
      </c>
      <c r="E36" s="22"/>
      <c r="I36" s="1"/>
      <c r="J36" s="1"/>
      <c r="L36" s="4"/>
      <c r="M36" s="4"/>
    </row>
    <row r="37" spans="3:13" x14ac:dyDescent="0.3">
      <c r="C37">
        <v>6</v>
      </c>
      <c r="D37" s="22">
        <f t="shared" si="7"/>
        <v>3.1093587337532567E-2</v>
      </c>
      <c r="E37" s="22"/>
      <c r="I37" s="1"/>
      <c r="J37" s="1"/>
      <c r="L37" s="4"/>
      <c r="M37" s="4"/>
    </row>
    <row r="38" spans="3:13" x14ac:dyDescent="0.3">
      <c r="C38">
        <v>7</v>
      </c>
      <c r="D38" s="22">
        <f t="shared" si="7"/>
        <v>3.1055636880591486E-2</v>
      </c>
      <c r="E38" s="22"/>
      <c r="I38" s="1"/>
      <c r="J38" s="1"/>
      <c r="L38" s="4"/>
      <c r="M38" s="4"/>
    </row>
    <row r="39" spans="3:13" x14ac:dyDescent="0.3">
      <c r="C39">
        <v>8</v>
      </c>
      <c r="D39" s="22">
        <f t="shared" si="7"/>
        <v>3.1114600747306525E-2</v>
      </c>
      <c r="E39" s="22"/>
      <c r="I39" s="1"/>
      <c r="J39" s="1"/>
      <c r="L39" s="4"/>
      <c r="M39" s="4"/>
    </row>
    <row r="40" spans="3:13" x14ac:dyDescent="0.3">
      <c r="C40">
        <v>9</v>
      </c>
      <c r="D40" s="22">
        <f t="shared" si="7"/>
        <v>3.121718275124865E-2</v>
      </c>
      <c r="E40" s="22"/>
      <c r="I40" s="1"/>
      <c r="J40" s="1"/>
      <c r="L40" s="4"/>
      <c r="M40" s="4"/>
    </row>
    <row r="41" spans="3:13" x14ac:dyDescent="0.3">
      <c r="C41">
        <v>10</v>
      </c>
      <c r="D41" s="22">
        <f t="shared" si="7"/>
        <v>3.1335444047975329E-2</v>
      </c>
      <c r="E41" s="22"/>
      <c r="I41" s="1"/>
      <c r="J41" s="1"/>
      <c r="L41" s="4"/>
      <c r="M41" s="4"/>
    </row>
    <row r="42" spans="3:13" x14ac:dyDescent="0.3">
      <c r="C42">
        <v>15</v>
      </c>
      <c r="D42" s="22">
        <f t="shared" si="7"/>
        <v>3.1856641565763372E-2</v>
      </c>
      <c r="E42" s="22"/>
      <c r="I42" s="1"/>
      <c r="J42" s="1"/>
      <c r="L42" s="4"/>
      <c r="M42" s="4"/>
    </row>
    <row r="43" spans="3:13" x14ac:dyDescent="0.3">
      <c r="C43">
        <v>20</v>
      </c>
      <c r="D43" s="22">
        <f t="shared" si="7"/>
        <v>3.2175416444078779E-2</v>
      </c>
      <c r="E43" s="22"/>
      <c r="I43" s="1"/>
      <c r="J43" s="1"/>
      <c r="L43" s="4"/>
      <c r="M43" s="4"/>
    </row>
    <row r="44" spans="3:13" x14ac:dyDescent="0.3">
      <c r="C44">
        <v>25</v>
      </c>
      <c r="D44" s="22">
        <f t="shared" si="7"/>
        <v>3.2372221650263579E-2</v>
      </c>
      <c r="E44" s="22"/>
      <c r="I44" s="1"/>
      <c r="J44" s="1"/>
      <c r="L44" s="4"/>
      <c r="M44" s="4"/>
    </row>
    <row r="45" spans="3:13" x14ac:dyDescent="0.3">
      <c r="C45">
        <v>30</v>
      </c>
      <c r="D45" s="22">
        <f t="shared" si="7"/>
        <v>3.2503921752330849E-2</v>
      </c>
      <c r="E45" s="22"/>
      <c r="I45" s="1"/>
      <c r="J45" s="1"/>
      <c r="L45" s="4"/>
      <c r="M45" s="4"/>
    </row>
    <row r="46" spans="3:13" x14ac:dyDescent="0.3">
      <c r="I46" s="1"/>
      <c r="J46" s="1"/>
      <c r="L46" s="4"/>
      <c r="M46" s="4"/>
    </row>
    <row r="47" spans="3:13" x14ac:dyDescent="0.3">
      <c r="I47" s="1"/>
      <c r="J47" s="1"/>
      <c r="L47" s="4"/>
      <c r="M47" s="4"/>
    </row>
    <row r="48" spans="3:13" x14ac:dyDescent="0.3">
      <c r="I48" s="1"/>
      <c r="J48" s="1"/>
      <c r="L48" s="4"/>
      <c r="M48" s="4"/>
    </row>
    <row r="49" spans="1:14" x14ac:dyDescent="0.3">
      <c r="I49" s="1"/>
      <c r="J49" s="1"/>
      <c r="L49" s="4"/>
      <c r="M49" s="4"/>
    </row>
    <row r="50" spans="1:14" s="6" customFormat="1" x14ac:dyDescent="0.3">
      <c r="A50" s="7"/>
      <c r="B50"/>
      <c r="C50"/>
      <c r="D50"/>
      <c r="E50"/>
      <c r="F50"/>
      <c r="G50"/>
      <c r="H50"/>
      <c r="I50"/>
      <c r="J50"/>
      <c r="K50"/>
      <c r="L50" s="5"/>
      <c r="M50" s="4"/>
    </row>
    <row r="51" spans="1:14" s="6" customFormat="1" ht="7.8" customHeight="1" x14ac:dyDescent="0.3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</row>
    <row r="52" spans="1:14" s="6" customFormat="1" x14ac:dyDescent="0.3">
      <c r="A52" s="7"/>
    </row>
    <row r="53" spans="1:14" ht="7.8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4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4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4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4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12</v>
      </c>
    </row>
    <row r="58" spans="1:14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4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4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4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4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2:13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2:13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2:13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2:13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2:13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2:13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2:13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2:13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2:13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2:13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2:13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2:13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2:13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2:13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2:13" x14ac:dyDescent="0.3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2:13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2:13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2:13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2:13" x14ac:dyDescent="0.3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2:13" x14ac:dyDescent="0.3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2:13" x14ac:dyDescent="0.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2:13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2:13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2:13" x14ac:dyDescent="0.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2:13" x14ac:dyDescent="0.3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2:13" x14ac:dyDescent="0.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2:13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2:13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2:13" x14ac:dyDescent="0.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2:13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2:13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2:13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2:13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2:13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2:13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2:13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2:13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2:13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6"/>
      <c r="M105" s="6"/>
    </row>
    <row r="106" spans="2:13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6"/>
      <c r="M106" s="6"/>
    </row>
    <row r="107" spans="2:13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6"/>
      <c r="M107" s="6"/>
    </row>
    <row r="108" spans="2:13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6"/>
      <c r="M108" s="6"/>
    </row>
    <row r="109" spans="2:13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6"/>
      <c r="M109" s="6"/>
    </row>
    <row r="110" spans="2:13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6"/>
      <c r="M110" s="6"/>
    </row>
    <row r="111" spans="2:13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6"/>
      <c r="M111" s="6"/>
    </row>
    <row r="112" spans="2:13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6"/>
      <c r="M112" s="6"/>
    </row>
    <row r="113" spans="2:13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6"/>
      <c r="M113" s="6"/>
    </row>
    <row r="114" spans="2:13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6"/>
      <c r="M114" s="6"/>
    </row>
    <row r="115" spans="2:13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6"/>
      <c r="M115" s="6"/>
    </row>
    <row r="116" spans="2:13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6"/>
      <c r="M116" s="6"/>
    </row>
    <row r="117" spans="2:13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6"/>
      <c r="M117" s="6"/>
    </row>
    <row r="118" spans="2:13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6"/>
      <c r="M118" s="6"/>
    </row>
    <row r="119" spans="2:13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6"/>
      <c r="M119" s="6"/>
    </row>
    <row r="120" spans="2:13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6"/>
      <c r="M120" s="6"/>
    </row>
    <row r="121" spans="2:13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6"/>
      <c r="M121" s="6"/>
    </row>
    <row r="122" spans="2:13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6"/>
      <c r="M122" s="6"/>
    </row>
    <row r="123" spans="2:13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6"/>
      <c r="M123" s="6"/>
    </row>
    <row r="124" spans="2:13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6"/>
      <c r="M124" s="6"/>
    </row>
    <row r="125" spans="2:13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6"/>
      <c r="M125" s="6"/>
    </row>
    <row r="126" spans="2:13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6"/>
      <c r="M126" s="6"/>
    </row>
    <row r="127" spans="2:13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6"/>
      <c r="M127" s="6"/>
    </row>
    <row r="128" spans="2:13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6"/>
      <c r="M128" s="6"/>
    </row>
    <row r="129" spans="2:13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6"/>
      <c r="M129" s="6"/>
    </row>
    <row r="130" spans="2:13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6"/>
      <c r="M130" s="6"/>
    </row>
    <row r="131" spans="2:13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6"/>
      <c r="M131" s="6"/>
    </row>
    <row r="132" spans="2:13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6"/>
      <c r="M132" s="6"/>
    </row>
    <row r="133" spans="2:13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6"/>
      <c r="M133" s="6"/>
    </row>
    <row r="134" spans="2:13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6"/>
      <c r="M134" s="6"/>
    </row>
    <row r="135" spans="2:13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6"/>
      <c r="M135" s="6"/>
    </row>
    <row r="136" spans="2:13" x14ac:dyDescent="0.3">
      <c r="L136" s="6"/>
      <c r="M136" s="6"/>
    </row>
    <row r="137" spans="2:13" x14ac:dyDescent="0.3">
      <c r="L137" s="6"/>
      <c r="M137" s="6"/>
    </row>
    <row r="138" spans="2:13" x14ac:dyDescent="0.3">
      <c r="L138" s="6"/>
      <c r="M138" s="6"/>
    </row>
    <row r="139" spans="2:13" x14ac:dyDescent="0.3">
      <c r="L139" s="6"/>
      <c r="M139" s="6"/>
    </row>
    <row r="140" spans="2:13" x14ac:dyDescent="0.3">
      <c r="L140" s="6"/>
      <c r="M140" s="6"/>
    </row>
    <row r="141" spans="2:13" x14ac:dyDescent="0.3">
      <c r="L141" s="6"/>
      <c r="M141" s="6"/>
    </row>
    <row r="142" spans="2:13" x14ac:dyDescent="0.3">
      <c r="L142" s="6"/>
      <c r="M142" s="6"/>
    </row>
    <row r="143" spans="2:13" x14ac:dyDescent="0.3">
      <c r="L143" s="6"/>
      <c r="M143" s="6"/>
    </row>
    <row r="144" spans="2:13" x14ac:dyDescent="0.3">
      <c r="L144" s="6"/>
      <c r="M144" s="6"/>
    </row>
    <row r="145" spans="12:13" x14ac:dyDescent="0.3">
      <c r="L145" s="6"/>
      <c r="M145" s="6"/>
    </row>
    <row r="146" spans="12:13" x14ac:dyDescent="0.3">
      <c r="L146" s="6"/>
      <c r="M146" s="6"/>
    </row>
    <row r="147" spans="12:13" x14ac:dyDescent="0.3">
      <c r="L147" s="6"/>
      <c r="M147" s="6"/>
    </row>
    <row r="148" spans="12:13" x14ac:dyDescent="0.3">
      <c r="L148" s="6"/>
      <c r="M148" s="6"/>
    </row>
    <row r="149" spans="12:13" x14ac:dyDescent="0.3">
      <c r="L149" s="6"/>
      <c r="M149" s="6"/>
    </row>
    <row r="150" spans="12:13" x14ac:dyDescent="0.3">
      <c r="L150" s="6"/>
      <c r="M150" s="6"/>
    </row>
    <row r="151" spans="12:13" x14ac:dyDescent="0.3">
      <c r="L151" s="6"/>
      <c r="M151" s="6"/>
    </row>
    <row r="152" spans="12:13" x14ac:dyDescent="0.3">
      <c r="L152" s="6"/>
      <c r="M152" s="6"/>
    </row>
    <row r="153" spans="12:13" x14ac:dyDescent="0.3">
      <c r="L153" s="6"/>
      <c r="M153" s="6"/>
    </row>
    <row r="154" spans="12:13" x14ac:dyDescent="0.3">
      <c r="L154" s="6"/>
      <c r="M154" s="6"/>
    </row>
    <row r="155" spans="12:13" x14ac:dyDescent="0.3">
      <c r="L155" s="6"/>
      <c r="M155" s="6"/>
    </row>
    <row r="156" spans="12:13" x14ac:dyDescent="0.3">
      <c r="L156" s="6"/>
      <c r="M156" s="6"/>
    </row>
    <row r="157" spans="12:13" x14ac:dyDescent="0.3">
      <c r="L157" s="6"/>
      <c r="M157" s="6"/>
    </row>
    <row r="158" spans="12:13" x14ac:dyDescent="0.3">
      <c r="L158" s="6"/>
      <c r="M158" s="6"/>
    </row>
    <row r="159" spans="12:13" x14ac:dyDescent="0.3">
      <c r="L159" s="6"/>
      <c r="M159" s="6"/>
    </row>
    <row r="160" spans="12:13" x14ac:dyDescent="0.3">
      <c r="L160" s="6"/>
      <c r="M160" s="6"/>
    </row>
    <row r="161" spans="12:13" x14ac:dyDescent="0.3">
      <c r="L161" s="6"/>
      <c r="M161" s="6"/>
    </row>
    <row r="162" spans="12:13" x14ac:dyDescent="0.3">
      <c r="L162" s="6"/>
      <c r="M162" s="6"/>
    </row>
    <row r="163" spans="12:13" x14ac:dyDescent="0.3">
      <c r="L163" s="6"/>
      <c r="M163" s="6"/>
    </row>
    <row r="164" spans="12:13" x14ac:dyDescent="0.3">
      <c r="L164" s="6"/>
      <c r="M164" s="6"/>
    </row>
    <row r="165" spans="12:13" x14ac:dyDescent="0.3">
      <c r="L165" s="6"/>
      <c r="M165" s="6"/>
    </row>
    <row r="166" spans="12:13" x14ac:dyDescent="0.3">
      <c r="L166" s="6"/>
      <c r="M166" s="6"/>
    </row>
    <row r="167" spans="12:13" x14ac:dyDescent="0.3">
      <c r="L167" s="6"/>
      <c r="M167" s="6"/>
    </row>
    <row r="168" spans="12:13" x14ac:dyDescent="0.3">
      <c r="L168" s="6"/>
      <c r="M168" s="6"/>
    </row>
    <row r="169" spans="12:13" x14ac:dyDescent="0.3">
      <c r="L169" s="6"/>
      <c r="M169" s="6"/>
    </row>
    <row r="170" spans="12:13" x14ac:dyDescent="0.3">
      <c r="L170" s="6"/>
      <c r="M170" s="6"/>
    </row>
    <row r="171" spans="12:13" x14ac:dyDescent="0.3">
      <c r="L171" s="6"/>
      <c r="M171" s="6"/>
    </row>
    <row r="172" spans="12:13" x14ac:dyDescent="0.3">
      <c r="L172" s="6"/>
      <c r="M172" s="6"/>
    </row>
    <row r="173" spans="12:13" x14ac:dyDescent="0.3">
      <c r="L173" s="6"/>
      <c r="M173" s="6"/>
    </row>
    <row r="174" spans="12:13" x14ac:dyDescent="0.3">
      <c r="L174" s="6"/>
      <c r="M174" s="6"/>
    </row>
    <row r="175" spans="12:13" x14ac:dyDescent="0.3">
      <c r="L175" s="6"/>
      <c r="M175" s="6"/>
    </row>
    <row r="176" spans="12:13" x14ac:dyDescent="0.3">
      <c r="L176" s="6"/>
      <c r="M176" s="6"/>
    </row>
    <row r="177" spans="12:13" x14ac:dyDescent="0.3">
      <c r="L177" s="6"/>
      <c r="M177" s="6"/>
    </row>
    <row r="178" spans="12:13" x14ac:dyDescent="0.3">
      <c r="L178" s="6"/>
      <c r="M178" s="6"/>
    </row>
    <row r="179" spans="12:13" x14ac:dyDescent="0.3">
      <c r="L179" s="6"/>
      <c r="M179" s="6"/>
    </row>
    <row r="180" spans="12:13" x14ac:dyDescent="0.3">
      <c r="L180" s="6"/>
      <c r="M180" s="6"/>
    </row>
    <row r="181" spans="12:13" x14ac:dyDescent="0.3">
      <c r="L181" s="6"/>
      <c r="M181" s="6"/>
    </row>
    <row r="182" spans="12:13" x14ac:dyDescent="0.3">
      <c r="L182" s="6"/>
      <c r="M182" s="6"/>
    </row>
    <row r="183" spans="12:13" x14ac:dyDescent="0.3">
      <c r="L183" s="6"/>
      <c r="M183" s="6"/>
    </row>
    <row r="184" spans="12:13" x14ac:dyDescent="0.3">
      <c r="L184" s="6"/>
      <c r="M184" s="6"/>
    </row>
    <row r="185" spans="12:13" x14ac:dyDescent="0.3">
      <c r="L185" s="6"/>
      <c r="M185" s="6"/>
    </row>
    <row r="186" spans="12:13" x14ac:dyDescent="0.3">
      <c r="L186" s="6"/>
      <c r="M186" s="6"/>
    </row>
    <row r="187" spans="12:13" x14ac:dyDescent="0.3">
      <c r="L187" s="6"/>
      <c r="M187" s="6"/>
    </row>
    <row r="188" spans="12:13" x14ac:dyDescent="0.3">
      <c r="L188" s="6"/>
      <c r="M188" s="6"/>
    </row>
    <row r="189" spans="12:13" x14ac:dyDescent="0.3">
      <c r="L189" s="6"/>
      <c r="M189" s="6"/>
    </row>
    <row r="190" spans="12:13" x14ac:dyDescent="0.3">
      <c r="L190" s="6"/>
      <c r="M190" s="6"/>
    </row>
    <row r="191" spans="12:13" x14ac:dyDescent="0.3">
      <c r="L191" s="6"/>
      <c r="M191" s="6"/>
    </row>
    <row r="192" spans="12:13" x14ac:dyDescent="0.3">
      <c r="L192" s="6"/>
      <c r="M192" s="6"/>
    </row>
    <row r="193" spans="12:13" x14ac:dyDescent="0.3">
      <c r="L193" s="6"/>
      <c r="M193" s="6"/>
    </row>
    <row r="194" spans="12:13" x14ac:dyDescent="0.3">
      <c r="L194" s="6"/>
      <c r="M194" s="6"/>
    </row>
    <row r="195" spans="12:13" x14ac:dyDescent="0.3">
      <c r="L195" s="6"/>
      <c r="M195" s="6"/>
    </row>
    <row r="196" spans="12:13" x14ac:dyDescent="0.3">
      <c r="L196" s="6"/>
      <c r="M196" s="6"/>
    </row>
    <row r="197" spans="12:13" x14ac:dyDescent="0.3">
      <c r="L197" s="6"/>
      <c r="M197" s="6"/>
    </row>
    <row r="198" spans="12:13" x14ac:dyDescent="0.3">
      <c r="L198" s="6"/>
      <c r="M198" s="6"/>
    </row>
    <row r="199" spans="12:13" x14ac:dyDescent="0.3">
      <c r="L199" s="6"/>
      <c r="M199" s="6"/>
    </row>
    <row r="200" spans="12:13" x14ac:dyDescent="0.3">
      <c r="L200" s="6"/>
      <c r="M200" s="6"/>
    </row>
    <row r="201" spans="12:13" x14ac:dyDescent="0.3">
      <c r="L201" s="6"/>
      <c r="M201" s="6"/>
    </row>
    <row r="202" spans="12:13" x14ac:dyDescent="0.3">
      <c r="L202" s="6"/>
      <c r="M202" s="6"/>
    </row>
    <row r="203" spans="12:13" x14ac:dyDescent="0.3">
      <c r="L203" s="6"/>
      <c r="M203" s="6"/>
    </row>
    <row r="204" spans="12:13" x14ac:dyDescent="0.3">
      <c r="L204" s="6"/>
      <c r="M204" s="6"/>
    </row>
    <row r="205" spans="12:13" x14ac:dyDescent="0.3">
      <c r="L205" s="6"/>
      <c r="M205" s="6"/>
    </row>
    <row r="206" spans="12:13" x14ac:dyDescent="0.3">
      <c r="L206" s="6"/>
      <c r="M206" s="6"/>
    </row>
    <row r="207" spans="12:13" x14ac:dyDescent="0.3">
      <c r="L207" s="6"/>
      <c r="M207" s="6"/>
    </row>
    <row r="208" spans="12:13" x14ac:dyDescent="0.3">
      <c r="L208" s="6"/>
      <c r="M208" s="6"/>
    </row>
  </sheetData>
  <mergeCells count="19">
    <mergeCell ref="D45:E45"/>
    <mergeCell ref="D39:E39"/>
    <mergeCell ref="D40:E40"/>
    <mergeCell ref="D41:E41"/>
    <mergeCell ref="D42:E42"/>
    <mergeCell ref="D43:E43"/>
    <mergeCell ref="D44:E44"/>
    <mergeCell ref="D33:E33"/>
    <mergeCell ref="D34:E34"/>
    <mergeCell ref="D35:E35"/>
    <mergeCell ref="D36:E36"/>
    <mergeCell ref="D37:E37"/>
    <mergeCell ref="D38:E38"/>
    <mergeCell ref="H9:I9"/>
    <mergeCell ref="H10:I10"/>
    <mergeCell ref="D29:E29"/>
    <mergeCell ref="D30:E30"/>
    <mergeCell ref="D31:E31"/>
    <mergeCell ref="D32:E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NNS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Mohanad A</cp:lastModifiedBy>
  <dcterms:created xsi:type="dcterms:W3CDTF">2026-03-06T14:12:42Z</dcterms:created>
  <dcterms:modified xsi:type="dcterms:W3CDTF">2026-03-07T13:56:09Z</dcterms:modified>
</cp:coreProperties>
</file>