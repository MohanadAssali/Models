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FILE\FINANCE\MODELS\META\"/>
    </mc:Choice>
  </mc:AlternateContent>
  <xr:revisionPtr revIDLastSave="0" documentId="13_ncr:1_{2E21F9BE-C7B7-4057-8862-E416C15FC99C}" xr6:coauthVersionLast="47" xr6:coauthVersionMax="47" xr10:uidLastSave="{00000000-0000-0000-0000-000000000000}"/>
  <bookViews>
    <workbookView xWindow="-108" yWindow="-108" windowWidth="23256" windowHeight="12456" activeTab="1" xr2:uid="{E1435971-A588-45C3-BB00-83ACB915F087}"/>
  </bookViews>
  <sheets>
    <sheet name="BlackScholes (2)" sheetId="2" r:id="rId1"/>
    <sheet name="BlackScholes" sheetId="1" r:id="rId2"/>
  </sheets>
  <definedNames>
    <definedName name="d1_" localSheetId="0">'BlackScholes (2)'!$J$13</definedName>
    <definedName name="d1_">BlackScholes!$J$13</definedName>
    <definedName name="d2_" localSheetId="0">'BlackScholes (2)'!$J$14</definedName>
    <definedName name="d2_">BlackScholes!$J$14</definedName>
    <definedName name="K" localSheetId="0">'BlackScholes (2)'!$F$18</definedName>
    <definedName name="K">BlackScholes!$F$18</definedName>
    <definedName name="r_" localSheetId="0">'BlackScholes (2)'!$F$20</definedName>
    <definedName name="r_">BlackScholes!$F$20</definedName>
    <definedName name="S" localSheetId="0">'BlackScholes (2)'!$F$17</definedName>
    <definedName name="S">BlackScholes!$F$17</definedName>
    <definedName name="T" localSheetId="0">'BlackScholes (2)'!$F$19</definedName>
    <definedName name="T">BlackScholes!$F$19</definedName>
    <definedName name="σ" localSheetId="0">'BlackScholes (2)'!$F$21</definedName>
    <definedName name="σ">BlackScholes!$F$21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7" i="2" l="1"/>
  <c r="I80" i="2" s="1"/>
  <c r="H77" i="2"/>
  <c r="H81" i="2" s="1"/>
  <c r="G77" i="2"/>
  <c r="G81" i="2" s="1"/>
  <c r="F77" i="2"/>
  <c r="F81" i="2" s="1"/>
  <c r="E77" i="2"/>
  <c r="E80" i="2" s="1"/>
  <c r="D77" i="2"/>
  <c r="D80" i="2" s="1"/>
  <c r="D55" i="2"/>
  <c r="D54" i="2"/>
  <c r="E54" i="2" s="1"/>
  <c r="D53" i="2"/>
  <c r="E53" i="2" s="1"/>
  <c r="D52" i="2"/>
  <c r="E52" i="2" s="1"/>
  <c r="D51" i="2"/>
  <c r="E51" i="2" s="1"/>
  <c r="D50" i="2"/>
  <c r="E50" i="2" s="1"/>
  <c r="D49" i="2"/>
  <c r="E49" i="2" s="1"/>
  <c r="F49" i="2" s="1"/>
  <c r="D48" i="2"/>
  <c r="E48" i="2" s="1"/>
  <c r="D47" i="2"/>
  <c r="D46" i="2"/>
  <c r="E46" i="2" s="1"/>
  <c r="D45" i="2"/>
  <c r="E45" i="2" s="1"/>
  <c r="J13" i="2"/>
  <c r="J14" i="2" s="1"/>
  <c r="J9" i="2" s="1"/>
  <c r="D50" i="1"/>
  <c r="E51" i="1"/>
  <c r="F51" i="1"/>
  <c r="D52" i="1"/>
  <c r="H52" i="1"/>
  <c r="F53" i="1"/>
  <c r="I53" i="1"/>
  <c r="I49" i="1"/>
  <c r="E49" i="1"/>
  <c r="I48" i="1"/>
  <c r="I52" i="1" s="1"/>
  <c r="H48" i="1"/>
  <c r="H49" i="1" s="1"/>
  <c r="G48" i="1"/>
  <c r="G51" i="1" s="1"/>
  <c r="F48" i="1"/>
  <c r="F50" i="1" s="1"/>
  <c r="E48" i="1"/>
  <c r="E50" i="1" s="1"/>
  <c r="D48" i="1"/>
  <c r="D53" i="1" s="1"/>
  <c r="E40" i="1"/>
  <c r="D43" i="1"/>
  <c r="E43" i="1" s="1"/>
  <c r="D42" i="1"/>
  <c r="E42" i="1" s="1"/>
  <c r="F42" i="1" s="1"/>
  <c r="H42" i="1" s="1"/>
  <c r="D41" i="1"/>
  <c r="E41" i="1" s="1"/>
  <c r="D40" i="1"/>
  <c r="D39" i="1"/>
  <c r="E39" i="1" s="1"/>
  <c r="D38" i="1"/>
  <c r="D37" i="1"/>
  <c r="D36" i="1"/>
  <c r="D35" i="1"/>
  <c r="D34" i="1"/>
  <c r="E34" i="1" s="1"/>
  <c r="F34" i="1" s="1"/>
  <c r="H34" i="1" s="1"/>
  <c r="D33" i="1"/>
  <c r="E33" i="1" s="1"/>
  <c r="J13" i="1"/>
  <c r="J14" i="1" s="1"/>
  <c r="G52" i="1" l="1"/>
  <c r="H53" i="1"/>
  <c r="F52" i="1"/>
  <c r="D51" i="1"/>
  <c r="E38" i="1"/>
  <c r="D49" i="1"/>
  <c r="G53" i="1"/>
  <c r="E52" i="1"/>
  <c r="I50" i="1"/>
  <c r="H50" i="1"/>
  <c r="F49" i="1"/>
  <c r="E53" i="1"/>
  <c r="I51" i="1"/>
  <c r="G50" i="1"/>
  <c r="G49" i="1"/>
  <c r="H51" i="1"/>
  <c r="I78" i="2"/>
  <c r="I79" i="2"/>
  <c r="H82" i="2"/>
  <c r="G78" i="2"/>
  <c r="H78" i="2"/>
  <c r="H79" i="2"/>
  <c r="H80" i="2"/>
  <c r="F78" i="2"/>
  <c r="I82" i="2"/>
  <c r="F43" i="1"/>
  <c r="G43" i="1"/>
  <c r="F48" i="2"/>
  <c r="G48" i="2" s="1"/>
  <c r="F54" i="2"/>
  <c r="H54" i="2" s="1"/>
  <c r="F39" i="1"/>
  <c r="H39" i="1" s="1"/>
  <c r="G49" i="2"/>
  <c r="H49" i="2"/>
  <c r="F52" i="2"/>
  <c r="H52" i="2" s="1"/>
  <c r="F50" i="2"/>
  <c r="H50" i="2" s="1"/>
  <c r="F46" i="2"/>
  <c r="H46" i="2" s="1"/>
  <c r="G33" i="1"/>
  <c r="J33" i="1" s="1"/>
  <c r="F53" i="2"/>
  <c r="H53" i="2" s="1"/>
  <c r="E35" i="1"/>
  <c r="F40" i="1"/>
  <c r="H40" i="1" s="1"/>
  <c r="E36" i="1"/>
  <c r="F33" i="1"/>
  <c r="H33" i="1" s="1"/>
  <c r="K33" i="1" s="1"/>
  <c r="F41" i="1"/>
  <c r="G41" i="1" s="1"/>
  <c r="G42" i="1"/>
  <c r="G34" i="1"/>
  <c r="J10" i="2"/>
  <c r="E47" i="2"/>
  <c r="H48" i="2"/>
  <c r="E55" i="2"/>
  <c r="D79" i="2"/>
  <c r="F80" i="2"/>
  <c r="E37" i="1"/>
  <c r="E79" i="2"/>
  <c r="G80" i="2"/>
  <c r="I81" i="2"/>
  <c r="D78" i="2"/>
  <c r="F79" i="2"/>
  <c r="D82" i="2"/>
  <c r="E78" i="2"/>
  <c r="G79" i="2"/>
  <c r="E82" i="2"/>
  <c r="D81" i="2"/>
  <c r="F82" i="2"/>
  <c r="F45" i="2"/>
  <c r="H45" i="2" s="1"/>
  <c r="K45" i="2" s="1"/>
  <c r="F51" i="2"/>
  <c r="H51" i="2" s="1"/>
  <c r="E81" i="2"/>
  <c r="G82" i="2"/>
  <c r="H43" i="1"/>
  <c r="J10" i="1"/>
  <c r="J9" i="1"/>
  <c r="G39" i="1" l="1"/>
  <c r="F38" i="1"/>
  <c r="H38" i="1" s="1"/>
  <c r="G54" i="2"/>
  <c r="G53" i="2"/>
  <c r="G45" i="2"/>
  <c r="J45" i="2" s="1"/>
  <c r="F47" i="2"/>
  <c r="H47" i="2" s="1"/>
  <c r="F35" i="1"/>
  <c r="H35" i="1" s="1"/>
  <c r="G52" i="2"/>
  <c r="G46" i="2"/>
  <c r="H41" i="1"/>
  <c r="F37" i="1"/>
  <c r="H37" i="1" s="1"/>
  <c r="G40" i="1"/>
  <c r="G50" i="2"/>
  <c r="F55" i="2"/>
  <c r="H55" i="2" s="1"/>
  <c r="G36" i="1"/>
  <c r="F36" i="1"/>
  <c r="H36" i="1" s="1"/>
  <c r="G51" i="2"/>
  <c r="G38" i="1" l="1"/>
  <c r="G55" i="2"/>
  <c r="G35" i="1"/>
  <c r="G37" i="1"/>
  <c r="G47" i="2"/>
</calcChain>
</file>

<file path=xl/sharedStrings.xml><?xml version="1.0" encoding="utf-8"?>
<sst xmlns="http://schemas.openxmlformats.org/spreadsheetml/2006/main" count="92" uniqueCount="45">
  <si>
    <t>Inputs</t>
  </si>
  <si>
    <t>Underlying price</t>
  </si>
  <si>
    <t>Strike Price</t>
  </si>
  <si>
    <t>Time to Expiration</t>
  </si>
  <si>
    <t>Risk Free Rate</t>
  </si>
  <si>
    <t>Volatility</t>
  </si>
  <si>
    <t>S</t>
  </si>
  <si>
    <t>K</t>
  </si>
  <si>
    <t>T</t>
  </si>
  <si>
    <t>r</t>
  </si>
  <si>
    <t>σ</t>
  </si>
  <si>
    <t>Normal CDF</t>
  </si>
  <si>
    <t>N(..)</t>
  </si>
  <si>
    <t>In</t>
  </si>
  <si>
    <t>Exponential (compounding factor)</t>
  </si>
  <si>
    <t>e</t>
  </si>
  <si>
    <t>Natural Log (log return)</t>
  </si>
  <si>
    <t>Pi</t>
  </si>
  <si>
    <t>π</t>
  </si>
  <si>
    <t>Formulas</t>
  </si>
  <si>
    <t>Calculations</t>
  </si>
  <si>
    <t>each figure defined as symbol</t>
  </si>
  <si>
    <t>Call</t>
  </si>
  <si>
    <t>Put</t>
  </si>
  <si>
    <t>c</t>
  </si>
  <si>
    <t>p</t>
  </si>
  <si>
    <t>d1</t>
  </si>
  <si>
    <t>d2</t>
  </si>
  <si>
    <t>p = K * e^(-rT) * N(-d2) - S0 * N(-d1)</t>
  </si>
  <si>
    <t>d1 = [ ln(S0 / K) + (r + σ^2 / 2) * T ] / (σ * √T)</t>
  </si>
  <si>
    <t>c = S0 * N(d1) - K * e^(-rT) * N(d2)</t>
  </si>
  <si>
    <t>norm.dst(</t>
  </si>
  <si>
    <t>Mohanad Assali</t>
  </si>
  <si>
    <t>BlackScholes</t>
  </si>
  <si>
    <t xml:space="preserve">‎ </t>
  </si>
  <si>
    <t>Black Scholes Model</t>
  </si>
  <si>
    <t>Last Modified 2/27/2026</t>
  </si>
  <si>
    <t>d2 =  d1 - σ * √T</t>
  </si>
  <si>
    <t>Visualization</t>
  </si>
  <si>
    <t>Price</t>
  </si>
  <si>
    <t>Strike</t>
  </si>
  <si>
    <t>Option Value Surface</t>
  </si>
  <si>
    <t>Time/Price</t>
  </si>
  <si>
    <t>Put Call Parity (Verification)</t>
  </si>
  <si>
    <t>How Options are priced 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</si>
</sst>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000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26"/>
      <color theme="4"/>
      <name val="Calibri"/>
      <family val="2"/>
      <scheme val="minor"/>
    </font>
    <font>
      <i/>
      <sz val="18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2" fillId="0" borderId="0" xfId="0" applyFont="1"/>
    <xf numFmtId="0" fontId="1" fillId="2" borderId="0" xfId="0" applyFont="1" applyFill="1"/>
    <xf numFmtId="0" fontId="0" fillId="0" borderId="3" xfId="0" applyBorder="1"/>
    <xf numFmtId="0" fontId="1" fillId="0" borderId="0" xfId="0" applyFont="1"/>
    <xf numFmtId="0" fontId="0" fillId="2" borderId="0" xfId="0" applyFill="1"/>
    <xf numFmtId="0" fontId="0" fillId="0" borderId="4" xfId="0" applyBorder="1"/>
    <xf numFmtId="0" fontId="0" fillId="0" borderId="5" xfId="0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3" fillId="0" borderId="10" xfId="0" applyFont="1" applyBorder="1"/>
    <xf numFmtId="0" fontId="4" fillId="0" borderId="10" xfId="0" applyFont="1" applyBorder="1"/>
    <xf numFmtId="0" fontId="0" fillId="0" borderId="2" xfId="0" applyBorder="1"/>
    <xf numFmtId="164" fontId="0" fillId="0" borderId="10" xfId="0" applyNumberFormat="1" applyBorder="1"/>
    <xf numFmtId="165" fontId="0" fillId="0" borderId="10" xfId="0" applyNumberFormat="1" applyBorder="1"/>
    <xf numFmtId="10" fontId="0" fillId="0" borderId="10" xfId="0" applyNumberFormat="1" applyBorder="1"/>
    <xf numFmtId="165" fontId="0" fillId="0" borderId="0" xfId="0" applyNumberFormat="1"/>
    <xf numFmtId="8" fontId="0" fillId="0" borderId="10" xfId="0" applyNumberFormat="1" applyBorder="1"/>
    <xf numFmtId="0" fontId="5" fillId="0" borderId="1" xfId="0" applyFont="1" applyBorder="1"/>
    <xf numFmtId="0" fontId="0" fillId="0" borderId="14" xfId="0" applyBorder="1"/>
    <xf numFmtId="0" fontId="0" fillId="0" borderId="15" xfId="0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/>
    <xf numFmtId="10" fontId="6" fillId="0" borderId="1" xfId="0" applyNumberFormat="1" applyFont="1" applyBorder="1"/>
    <xf numFmtId="0" fontId="0" fillId="0" borderId="11" xfId="0" applyBorder="1"/>
    <xf numFmtId="0" fontId="0" fillId="0" borderId="16" xfId="0" applyBorder="1"/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Meta Option Sensitivity Analysis (5-Year Horizon)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'BlackScholes (2)'!$G$44</c:f>
              <c:strCache>
                <c:ptCount val="1"/>
                <c:pt idx="0">
                  <c:v>Call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'BlackScholes (2)'!$C$45:$C$55</c:f>
              <c:numCache>
                <c:formatCode>"$"#,##0.00</c:formatCode>
                <c:ptCount val="11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</c:numCache>
            </c:numRef>
          </c:xVal>
          <c:yVal>
            <c:numRef>
              <c:f>'BlackScholes (2)'!$G$45:$G$55</c:f>
              <c:numCache>
                <c:formatCode>"$"#,##0.00</c:formatCode>
                <c:ptCount val="11"/>
                <c:pt idx="0">
                  <c:v>70.038927400384594</c:v>
                </c:pt>
                <c:pt idx="1">
                  <c:v>95.828906092884267</c:v>
                </c:pt>
                <c:pt idx="2">
                  <c:v>124.89801417414091</c:v>
                </c:pt>
                <c:pt idx="3">
                  <c:v>156.82698008889727</c:v>
                </c:pt>
                <c:pt idx="4">
                  <c:v>191.2293809054849</c:v>
                </c:pt>
                <c:pt idx="5">
                  <c:v>227.7601323199097</c:v>
                </c:pt>
                <c:pt idx="6">
                  <c:v>266.11699091075292</c:v>
                </c:pt>
                <c:pt idx="7">
                  <c:v>306.03845400389002</c:v>
                </c:pt>
                <c:pt idx="8">
                  <c:v>347.30000748208352</c:v>
                </c:pt>
                <c:pt idx="9">
                  <c:v>389.70980798995197</c:v>
                </c:pt>
                <c:pt idx="10">
                  <c:v>433.10437811584222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E1-4E60-9107-A975EC9D7EA3}"/>
            </c:ext>
          </c:extLst>
        </c:ser>
        <c:ser>
          <c:idx val="1"/>
          <c:order val="1"/>
          <c:tx>
            <c:strRef>
              <c:f>'BlackScholes (2)'!$H$44</c:f>
              <c:strCache>
                <c:ptCount val="1"/>
                <c:pt idx="0">
                  <c:v>Put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'BlackScholes (2)'!$C$45:$C$55</c:f>
              <c:numCache>
                <c:formatCode>"$"#,##0.00</c:formatCode>
                <c:ptCount val="11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</c:numCache>
            </c:numRef>
          </c:xVal>
          <c:yVal>
            <c:numRef>
              <c:f>'BlackScholes (2)'!$H$45:$H$55</c:f>
              <c:numCache>
                <c:formatCode>"$"#,##0.00</c:formatCode>
                <c:ptCount val="11"/>
                <c:pt idx="0">
                  <c:v>188.00226057533408</c:v>
                </c:pt>
                <c:pt idx="1">
                  <c:v>163.79223926783379</c:v>
                </c:pt>
                <c:pt idx="2">
                  <c:v>142.86134734909047</c:v>
                </c:pt>
                <c:pt idx="3">
                  <c:v>124.79031326384685</c:v>
                </c:pt>
                <c:pt idx="4">
                  <c:v>109.19271408043446</c:v>
                </c:pt>
                <c:pt idx="5">
                  <c:v>95.723465494859255</c:v>
                </c:pt>
                <c:pt idx="6">
                  <c:v>84.080324085702443</c:v>
                </c:pt>
                <c:pt idx="7">
                  <c:v>74.001787178839606</c:v>
                </c:pt>
                <c:pt idx="8">
                  <c:v>65.263340657033069</c:v>
                </c:pt>
                <c:pt idx="9">
                  <c:v>57.673141164901395</c:v>
                </c:pt>
                <c:pt idx="10">
                  <c:v>51.067711290791749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E1-4E60-9107-A975EC9D7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73528"/>
        <c:axId val="108452648"/>
      </c:scatterChart>
      <c:valAx>
        <c:axId val="108473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2648"/>
        <c:crosses val="autoZero"/>
        <c:crossBetween val="midCat"/>
      </c:valAx>
      <c:valAx>
        <c:axId val="10845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3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/>
              <a:t>Option Value Surface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20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'BlackScholes (2)'!$C$78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'BlackScholes (2)'!$D$77:$I$77</c:f>
              <c:numCache>
                <c:formatCode>"$"#,##0.00_);[Red]\("$"#,##0.00\)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</c:numCache>
            </c:numRef>
          </c:cat>
          <c:val>
            <c:numRef>
              <c:f>'BlackScholes (2)'!$D$78:$I$78</c:f>
              <c:numCache>
                <c:formatCode>"$"#,##0.00</c:formatCode>
                <c:ptCount val="6"/>
                <c:pt idx="0">
                  <c:v>5.1521441569262763</c:v>
                </c:pt>
                <c:pt idx="1">
                  <c:v>24.481353264745962</c:v>
                </c:pt>
                <c:pt idx="2">
                  <c:v>66.115849182024959</c:v>
                </c:pt>
                <c:pt idx="3">
                  <c:v>129.41879261727922</c:v>
                </c:pt>
                <c:pt idx="4">
                  <c:v>208.65691518847007</c:v>
                </c:pt>
                <c:pt idx="5">
                  <c:v>297.74609381851565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3-41FE-83D1-AE7C0F721E63}"/>
            </c:ext>
          </c:extLst>
        </c:ser>
        <c:ser>
          <c:idx val="1"/>
          <c:order val="1"/>
          <c:tx>
            <c:strRef>
              <c:f>'BlackScholes (2)'!$C$79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'BlackScholes (2)'!$D$77:$I$77</c:f>
              <c:numCache>
                <c:formatCode>"$"#,##0.00_);[Red]\("$"#,##0.00\)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</c:numCache>
            </c:numRef>
          </c:cat>
          <c:val>
            <c:numRef>
              <c:f>'BlackScholes (2)'!$D$79:$I$79</c:f>
              <c:numCache>
                <c:formatCode>"$"#,##0.00</c:formatCode>
                <c:ptCount val="6"/>
                <c:pt idx="0">
                  <c:v>20.144579213030994</c:v>
                </c:pt>
                <c:pt idx="1">
                  <c:v>53.999561207150407</c:v>
                </c:pt>
                <c:pt idx="2">
                  <c:v>106.11134322237606</c:v>
                </c:pt>
                <c:pt idx="3">
                  <c:v>173.31638714985382</c:v>
                </c:pt>
                <c:pt idx="4">
                  <c:v>251.62534117698851</c:v>
                </c:pt>
                <c:pt idx="5">
                  <c:v>337.57001573043198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3-41FE-83D1-AE7C0F721E63}"/>
            </c:ext>
          </c:extLst>
        </c:ser>
        <c:ser>
          <c:idx val="2"/>
          <c:order val="2"/>
          <c:tx>
            <c:strRef>
              <c:f>'BlackScholes (2)'!$C$80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'BlackScholes (2)'!$D$77:$I$77</c:f>
              <c:numCache>
                <c:formatCode>"$"#,##0.00_);[Red]\("$"#,##0.00\)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</c:numCache>
            </c:numRef>
          </c:cat>
          <c:val>
            <c:numRef>
              <c:f>'BlackScholes (2)'!$D$80:$I$80</c:f>
              <c:numCache>
                <c:formatCode>"$"#,##0.00</c:formatCode>
                <c:ptCount val="6"/>
                <c:pt idx="0">
                  <c:v>37.05503752686289</c:v>
                </c:pt>
                <c:pt idx="1">
                  <c:v>80.103036926480172</c:v>
                </c:pt>
                <c:pt idx="2">
                  <c:v>138.41667276571187</c:v>
                </c:pt>
                <c:pt idx="3">
                  <c:v>208.65607029859376</c:v>
                </c:pt>
                <c:pt idx="4">
                  <c:v>287.66972581270073</c:v>
                </c:pt>
                <c:pt idx="5">
                  <c:v>372.9392555051146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43-41FE-83D1-AE7C0F721E63}"/>
            </c:ext>
          </c:extLst>
        </c:ser>
        <c:ser>
          <c:idx val="3"/>
          <c:order val="3"/>
          <c:tx>
            <c:strRef>
              <c:f>'BlackScholes (2)'!$C$81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'BlackScholes (2)'!$D$77:$I$77</c:f>
              <c:numCache>
                <c:formatCode>"$"#,##0.00_);[Red]\("$"#,##0.00\)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</c:numCache>
            </c:numRef>
          </c:cat>
          <c:val>
            <c:numRef>
              <c:f>'BlackScholes (2)'!$D$81:$I$81</c:f>
              <c:numCache>
                <c:formatCode>"$"#,##0.00</c:formatCode>
                <c:ptCount val="6"/>
                <c:pt idx="0">
                  <c:v>53.855859126750303</c:v>
                </c:pt>
                <c:pt idx="1">
                  <c:v>103.54430912523222</c:v>
                </c:pt>
                <c:pt idx="2">
                  <c:v>166.34100696551786</c:v>
                </c:pt>
                <c:pt idx="3">
                  <c:v>239.08670078174254</c:v>
                </c:pt>
                <c:pt idx="4">
                  <c:v>319.15245555193752</c:v>
                </c:pt>
                <c:pt idx="5">
                  <c:v>404.53315466694232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43-41FE-83D1-AE7C0F721E63}"/>
            </c:ext>
          </c:extLst>
        </c:ser>
        <c:ser>
          <c:idx val="4"/>
          <c:order val="4"/>
          <c:tx>
            <c:strRef>
              <c:f>'BlackScholes (2)'!$C$82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'BlackScholes (2)'!$D$77:$I$77</c:f>
              <c:numCache>
                <c:formatCode>"$"#,##0.00_);[Red]\("$"#,##0.00\)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</c:numCache>
            </c:numRef>
          </c:cat>
          <c:val>
            <c:numRef>
              <c:f>'BlackScholes (2)'!$D$82:$I$82</c:f>
              <c:numCache>
                <c:formatCode>"$"#,##0.00</c:formatCode>
                <c:ptCount val="6"/>
                <c:pt idx="0">
                  <c:v>70.038927400384594</c:v>
                </c:pt>
                <c:pt idx="1">
                  <c:v>124.89801417414091</c:v>
                </c:pt>
                <c:pt idx="2">
                  <c:v>191.2293809054849</c:v>
                </c:pt>
                <c:pt idx="3">
                  <c:v>266.11699091075292</c:v>
                </c:pt>
                <c:pt idx="4">
                  <c:v>347.30000748208352</c:v>
                </c:pt>
                <c:pt idx="5">
                  <c:v>433.10437811584222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43-41FE-83D1-AE7C0F721E63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621783808"/>
        <c:axId val="621779488"/>
        <c:axId val="620252800"/>
      </c:surface3DChart>
      <c:catAx>
        <c:axId val="621783808"/>
        <c:scaling>
          <c:orientation val="minMax"/>
        </c:scaling>
        <c:delete val="0"/>
        <c:axPos val="b"/>
        <c:numFmt formatCode="&quot;$&quot;#,##0.00_);[Red]\(&quot;$&quot;#,##0.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79488"/>
        <c:crosses val="autoZero"/>
        <c:auto val="1"/>
        <c:lblAlgn val="ctr"/>
        <c:lblOffset val="100"/>
        <c:noMultiLvlLbl val="0"/>
      </c:catAx>
      <c:valAx>
        <c:axId val="62177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83808"/>
        <c:crosses val="autoZero"/>
        <c:crossBetween val="midCat"/>
      </c:valAx>
      <c:serAx>
        <c:axId val="6202528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7948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Meta Option Sensitivity Analysis (5-Year Horizon)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BlackScholes!$G$32</c:f>
              <c:strCache>
                <c:ptCount val="1"/>
                <c:pt idx="0">
                  <c:v>Call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BlackScholes!$C$33:$C$43</c:f>
              <c:numCache>
                <c:formatCode>"$"#,##0.00</c:formatCode>
                <c:ptCount val="11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</c:numCache>
            </c:numRef>
          </c:xVal>
          <c:yVal>
            <c:numRef>
              <c:f>BlackScholes!$G$33:$G$43</c:f>
              <c:numCache>
                <c:formatCode>"$"#,##0.00</c:formatCode>
                <c:ptCount val="11"/>
                <c:pt idx="0">
                  <c:v>70.038927400384594</c:v>
                </c:pt>
                <c:pt idx="1">
                  <c:v>95.828906092884267</c:v>
                </c:pt>
                <c:pt idx="2">
                  <c:v>124.89801417414091</c:v>
                </c:pt>
                <c:pt idx="3">
                  <c:v>156.82698008889727</c:v>
                </c:pt>
                <c:pt idx="4">
                  <c:v>191.2293809054849</c:v>
                </c:pt>
                <c:pt idx="5">
                  <c:v>227.7601323199097</c:v>
                </c:pt>
                <c:pt idx="6">
                  <c:v>266.11699091075292</c:v>
                </c:pt>
                <c:pt idx="7">
                  <c:v>306.03845400389002</c:v>
                </c:pt>
                <c:pt idx="8">
                  <c:v>347.30000748208352</c:v>
                </c:pt>
                <c:pt idx="9">
                  <c:v>389.70980798995197</c:v>
                </c:pt>
                <c:pt idx="10">
                  <c:v>433.10437811584222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A5-4437-BF2C-A444486E8A61}"/>
            </c:ext>
          </c:extLst>
        </c:ser>
        <c:ser>
          <c:idx val="1"/>
          <c:order val="1"/>
          <c:tx>
            <c:strRef>
              <c:f>BlackScholes!$H$32</c:f>
              <c:strCache>
                <c:ptCount val="1"/>
                <c:pt idx="0">
                  <c:v>Put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BlackScholes!$C$33:$C$43</c:f>
              <c:numCache>
                <c:formatCode>"$"#,##0.00</c:formatCode>
                <c:ptCount val="11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</c:numCache>
            </c:numRef>
          </c:xVal>
          <c:yVal>
            <c:numRef>
              <c:f>BlackScholes!$H$33:$H$43</c:f>
              <c:numCache>
                <c:formatCode>"$"#,##0.00</c:formatCode>
                <c:ptCount val="11"/>
                <c:pt idx="0">
                  <c:v>188.00226057533408</c:v>
                </c:pt>
                <c:pt idx="1">
                  <c:v>163.79223926783379</c:v>
                </c:pt>
                <c:pt idx="2">
                  <c:v>142.86134734909047</c:v>
                </c:pt>
                <c:pt idx="3">
                  <c:v>124.79031326384685</c:v>
                </c:pt>
                <c:pt idx="4">
                  <c:v>109.19271408043446</c:v>
                </c:pt>
                <c:pt idx="5">
                  <c:v>95.723465494859255</c:v>
                </c:pt>
                <c:pt idx="6">
                  <c:v>84.080324085702443</c:v>
                </c:pt>
                <c:pt idx="7">
                  <c:v>74.001787178839606</c:v>
                </c:pt>
                <c:pt idx="8">
                  <c:v>65.263340657033069</c:v>
                </c:pt>
                <c:pt idx="9">
                  <c:v>57.673141164901395</c:v>
                </c:pt>
                <c:pt idx="10">
                  <c:v>51.067711290791749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A5-4437-BF2C-A444486E8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73528"/>
        <c:axId val="108452648"/>
      </c:scatterChart>
      <c:valAx>
        <c:axId val="108473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2648"/>
        <c:crosses val="autoZero"/>
        <c:crossBetween val="midCat"/>
      </c:valAx>
      <c:valAx>
        <c:axId val="10845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3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/>
              <a:t>Option Value Surface: Stock Price vs. Time to Expiration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20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BlackScholes!$C$49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BlackScholes!$D$48:$I$48</c:f>
              <c:numCache>
                <c:formatCode>"$"#,##0.00_);[Red]\("$"#,##0.00\)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</c:numCache>
            </c:numRef>
          </c:cat>
          <c:val>
            <c:numRef>
              <c:f>BlackScholes!$D$49:$I$49</c:f>
              <c:numCache>
                <c:formatCode>"$"#,##0.00</c:formatCode>
                <c:ptCount val="6"/>
                <c:pt idx="0">
                  <c:v>5.1521441569262763</c:v>
                </c:pt>
                <c:pt idx="1">
                  <c:v>24.481353264745962</c:v>
                </c:pt>
                <c:pt idx="2">
                  <c:v>66.115849182024959</c:v>
                </c:pt>
                <c:pt idx="3">
                  <c:v>129.41879261727922</c:v>
                </c:pt>
                <c:pt idx="4">
                  <c:v>208.65691518847007</c:v>
                </c:pt>
                <c:pt idx="5">
                  <c:v>297.74609381851565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7-4704-8467-4A5CAD09E77C}"/>
            </c:ext>
          </c:extLst>
        </c:ser>
        <c:ser>
          <c:idx val="1"/>
          <c:order val="1"/>
          <c:tx>
            <c:strRef>
              <c:f>BlackScholes!$C$50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BlackScholes!$D$48:$I$48</c:f>
              <c:numCache>
                <c:formatCode>"$"#,##0.00_);[Red]\("$"#,##0.00\)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</c:numCache>
            </c:numRef>
          </c:cat>
          <c:val>
            <c:numRef>
              <c:f>BlackScholes!$D$50:$I$50</c:f>
              <c:numCache>
                <c:formatCode>"$"#,##0.00</c:formatCode>
                <c:ptCount val="6"/>
                <c:pt idx="0">
                  <c:v>20.144579213030994</c:v>
                </c:pt>
                <c:pt idx="1">
                  <c:v>53.999561207150407</c:v>
                </c:pt>
                <c:pt idx="2">
                  <c:v>106.11134322237606</c:v>
                </c:pt>
                <c:pt idx="3">
                  <c:v>173.31638714985382</c:v>
                </c:pt>
                <c:pt idx="4">
                  <c:v>251.62534117698851</c:v>
                </c:pt>
                <c:pt idx="5">
                  <c:v>337.57001573043198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87-4704-8467-4A5CAD09E77C}"/>
            </c:ext>
          </c:extLst>
        </c:ser>
        <c:ser>
          <c:idx val="2"/>
          <c:order val="2"/>
          <c:tx>
            <c:strRef>
              <c:f>BlackScholes!$C$51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BlackScholes!$D$48:$I$48</c:f>
              <c:numCache>
                <c:formatCode>"$"#,##0.00_);[Red]\("$"#,##0.00\)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</c:numCache>
            </c:numRef>
          </c:cat>
          <c:val>
            <c:numRef>
              <c:f>BlackScholes!$D$51:$I$51</c:f>
              <c:numCache>
                <c:formatCode>"$"#,##0.00</c:formatCode>
                <c:ptCount val="6"/>
                <c:pt idx="0">
                  <c:v>37.05503752686289</c:v>
                </c:pt>
                <c:pt idx="1">
                  <c:v>80.103036926480172</c:v>
                </c:pt>
                <c:pt idx="2">
                  <c:v>138.41667276571187</c:v>
                </c:pt>
                <c:pt idx="3">
                  <c:v>208.65607029859376</c:v>
                </c:pt>
                <c:pt idx="4">
                  <c:v>287.66972581270073</c:v>
                </c:pt>
                <c:pt idx="5">
                  <c:v>372.9392555051146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87-4704-8467-4A5CAD09E77C}"/>
            </c:ext>
          </c:extLst>
        </c:ser>
        <c:ser>
          <c:idx val="3"/>
          <c:order val="3"/>
          <c:tx>
            <c:strRef>
              <c:f>BlackScholes!$C$52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BlackScholes!$D$48:$I$48</c:f>
              <c:numCache>
                <c:formatCode>"$"#,##0.00_);[Red]\("$"#,##0.00\)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</c:numCache>
            </c:numRef>
          </c:cat>
          <c:val>
            <c:numRef>
              <c:f>BlackScholes!$D$52:$I$52</c:f>
              <c:numCache>
                <c:formatCode>"$"#,##0.00</c:formatCode>
                <c:ptCount val="6"/>
                <c:pt idx="0">
                  <c:v>53.855859126750303</c:v>
                </c:pt>
                <c:pt idx="1">
                  <c:v>103.54430912523222</c:v>
                </c:pt>
                <c:pt idx="2">
                  <c:v>166.34100696551786</c:v>
                </c:pt>
                <c:pt idx="3">
                  <c:v>239.08670078174254</c:v>
                </c:pt>
                <c:pt idx="4">
                  <c:v>319.15245555193752</c:v>
                </c:pt>
                <c:pt idx="5">
                  <c:v>404.53315466694232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87-4704-8467-4A5CAD09E77C}"/>
            </c:ext>
          </c:extLst>
        </c:ser>
        <c:ser>
          <c:idx val="4"/>
          <c:order val="4"/>
          <c:tx>
            <c:strRef>
              <c:f>BlackScholes!$C$53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BlackScholes!$D$48:$I$48</c:f>
              <c:numCache>
                <c:formatCode>"$"#,##0.00_);[Red]\("$"#,##0.00\)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</c:numCache>
            </c:numRef>
          </c:cat>
          <c:val>
            <c:numRef>
              <c:f>BlackScholes!$D$53:$I$53</c:f>
              <c:numCache>
                <c:formatCode>"$"#,##0.00</c:formatCode>
                <c:ptCount val="6"/>
                <c:pt idx="0">
                  <c:v>70.038927400384594</c:v>
                </c:pt>
                <c:pt idx="1">
                  <c:v>124.89801417414091</c:v>
                </c:pt>
                <c:pt idx="2">
                  <c:v>191.2293809054849</c:v>
                </c:pt>
                <c:pt idx="3">
                  <c:v>266.11699091075292</c:v>
                </c:pt>
                <c:pt idx="4">
                  <c:v>347.30000748208352</c:v>
                </c:pt>
                <c:pt idx="5">
                  <c:v>433.10437811584222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87-4704-8467-4A5CAD09E77C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621783808"/>
        <c:axId val="621779488"/>
        <c:axId val="620252800"/>
      </c:surface3DChart>
      <c:catAx>
        <c:axId val="621783808"/>
        <c:scaling>
          <c:orientation val="minMax"/>
        </c:scaling>
        <c:delete val="0"/>
        <c:axPos val="b"/>
        <c:numFmt formatCode="&quot;$&quot;#,##0.00_);[Red]\(&quot;$&quot;#,##0.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79488"/>
        <c:crosses val="autoZero"/>
        <c:auto val="1"/>
        <c:lblAlgn val="ctr"/>
        <c:lblOffset val="100"/>
        <c:noMultiLvlLbl val="0"/>
      </c:catAx>
      <c:valAx>
        <c:axId val="62177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83808"/>
        <c:crosses val="autoZero"/>
        <c:crossBetween val="midCat"/>
      </c:valAx>
      <c:serAx>
        <c:axId val="6202528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7948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image" Target="../media/image4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image" Target="../media/image4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152400</xdr:colOff>
      <xdr:row>12</xdr:row>
      <xdr:rowOff>49530</xdr:rowOff>
    </xdr:from>
    <xdr:to>
      <xdr:col>30</xdr:col>
      <xdr:colOff>173623</xdr:colOff>
      <xdr:row>18</xdr:row>
      <xdr:rowOff>169649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2A4077-7DC4-4A12-8DF2-F6572B47C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2221230"/>
          <a:ext cx="3074938" cy="1205969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6</xdr:row>
      <xdr:rowOff>154305</xdr:rowOff>
    </xdr:from>
    <xdr:to>
      <xdr:col>30</xdr:col>
      <xdr:colOff>167909</xdr:colOff>
      <xdr:row>10</xdr:row>
      <xdr:rowOff>59110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DF6345-B1C6-47B9-A942-B1393CE81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82775" y="1240155"/>
          <a:ext cx="3101609" cy="634420"/>
        </a:xfrm>
        <a:prstGeom prst="rect">
          <a:avLst/>
        </a:prstGeom>
      </xdr:spPr>
    </xdr:pic>
    <xdr:clientData/>
  </xdr:twoCellAnchor>
  <xdr:twoCellAnchor editAs="oneCell">
    <xdr:from>
      <xdr:col>25</xdr:col>
      <xdr:colOff>245745</xdr:colOff>
      <xdr:row>9</xdr:row>
      <xdr:rowOff>120015</xdr:rowOff>
    </xdr:from>
    <xdr:to>
      <xdr:col>30</xdr:col>
      <xdr:colOff>247914</xdr:colOff>
      <xdr:row>12</xdr:row>
      <xdr:rowOff>152449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E5A0BA-26AD-4044-AC88-09808479E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23745" y="1748790"/>
          <a:ext cx="3038739" cy="575359"/>
        </a:xfrm>
        <a:prstGeom prst="rect">
          <a:avLst/>
        </a:prstGeom>
      </xdr:spPr>
    </xdr:pic>
    <xdr:clientData/>
  </xdr:twoCellAnchor>
  <xdr:twoCellAnchor>
    <xdr:from>
      <xdr:col>15</xdr:col>
      <xdr:colOff>104775</xdr:colOff>
      <xdr:row>55</xdr:row>
      <xdr:rowOff>31432</xdr:rowOff>
    </xdr:from>
    <xdr:to>
      <xdr:col>21</xdr:col>
      <xdr:colOff>285750</xdr:colOff>
      <xdr:row>69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BD9128-279A-4DC8-AB2D-3217409C5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523875</xdr:colOff>
      <xdr:row>42</xdr:row>
      <xdr:rowOff>85725</xdr:rowOff>
    </xdr:from>
    <xdr:to>
      <xdr:col>24</xdr:col>
      <xdr:colOff>282130</xdr:colOff>
      <xdr:row>45</xdr:row>
      <xdr:rowOff>53385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54808B-099D-4BD7-8177-BCCC0B6F2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3875" y="6781800"/>
          <a:ext cx="2190940" cy="501060"/>
        </a:xfrm>
        <a:prstGeom prst="rect">
          <a:avLst/>
        </a:prstGeom>
      </xdr:spPr>
    </xdr:pic>
    <xdr:clientData/>
  </xdr:twoCellAnchor>
  <xdr:twoCellAnchor>
    <xdr:from>
      <xdr:col>10</xdr:col>
      <xdr:colOff>360996</xdr:colOff>
      <xdr:row>133</xdr:row>
      <xdr:rowOff>21907</xdr:rowOff>
    </xdr:from>
    <xdr:to>
      <xdr:col>20</xdr:col>
      <xdr:colOff>457199</xdr:colOff>
      <xdr:row>151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2069AD-15CB-414C-9CDE-13B074EF3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120015</xdr:colOff>
      <xdr:row>11</xdr:row>
      <xdr:rowOff>150495</xdr:rowOff>
    </xdr:from>
    <xdr:to>
      <xdr:col>19</xdr:col>
      <xdr:colOff>150763</xdr:colOff>
      <xdr:row>18</xdr:row>
      <xdr:rowOff>93449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50B6B0-1B25-691C-3D73-09AAECD03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815" y="2141220"/>
          <a:ext cx="3078748" cy="121739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6</xdr:row>
      <xdr:rowOff>78105</xdr:rowOff>
    </xdr:from>
    <xdr:to>
      <xdr:col>19</xdr:col>
      <xdr:colOff>129809</xdr:colOff>
      <xdr:row>9</xdr:row>
      <xdr:rowOff>169600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D0606E-CADD-B12B-9C15-6C6DB6E81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6650" y="1163955"/>
          <a:ext cx="3101609" cy="642040"/>
        </a:xfrm>
        <a:prstGeom prst="rect">
          <a:avLst/>
        </a:prstGeom>
      </xdr:spPr>
    </xdr:pic>
    <xdr:clientData/>
  </xdr:twoCellAnchor>
  <xdr:twoCellAnchor editAs="oneCell">
    <xdr:from>
      <xdr:col>14</xdr:col>
      <xdr:colOff>196215</xdr:colOff>
      <xdr:row>9</xdr:row>
      <xdr:rowOff>26670</xdr:rowOff>
    </xdr:from>
    <xdr:to>
      <xdr:col>19</xdr:col>
      <xdr:colOff>188859</xdr:colOff>
      <xdr:row>12</xdr:row>
      <xdr:rowOff>57199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68C4A5-2007-B804-2CB6-2CB0CFA0E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9015" y="1655445"/>
          <a:ext cx="3040644" cy="573454"/>
        </a:xfrm>
        <a:prstGeom prst="rect">
          <a:avLst/>
        </a:prstGeom>
      </xdr:spPr>
    </xdr:pic>
    <xdr:clientData/>
  </xdr:twoCellAnchor>
  <xdr:twoCellAnchor>
    <xdr:from>
      <xdr:col>15</xdr:col>
      <xdr:colOff>360045</xdr:colOff>
      <xdr:row>19</xdr:row>
      <xdr:rowOff>174307</xdr:rowOff>
    </xdr:from>
    <xdr:to>
      <xdr:col>21</xdr:col>
      <xdr:colOff>542925</xdr:colOff>
      <xdr:row>33</xdr:row>
      <xdr:rowOff>173355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6B6E0B0-C2CE-0631-F959-FD0EDB2D5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7620</xdr:colOff>
      <xdr:row>34</xdr:row>
      <xdr:rowOff>131445</xdr:rowOff>
    </xdr:from>
    <xdr:to>
      <xdr:col>18</xdr:col>
      <xdr:colOff>360235</xdr:colOff>
      <xdr:row>37</xdr:row>
      <xdr:rowOff>95295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0661A07-38EC-FC51-D076-B80767D16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7670" y="6284595"/>
          <a:ext cx="2181415" cy="506775"/>
        </a:xfrm>
        <a:prstGeom prst="rect">
          <a:avLst/>
        </a:prstGeom>
      </xdr:spPr>
    </xdr:pic>
    <xdr:clientData/>
  </xdr:twoCellAnchor>
  <xdr:twoCellAnchor>
    <xdr:from>
      <xdr:col>14</xdr:col>
      <xdr:colOff>562927</xdr:colOff>
      <xdr:row>42</xdr:row>
      <xdr:rowOff>60007</xdr:rowOff>
    </xdr:from>
    <xdr:to>
      <xdr:col>22</xdr:col>
      <xdr:colOff>250507</xdr:colOff>
      <xdr:row>58</xdr:row>
      <xdr:rowOff>79057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5B61253-4C59-F31A-EE80-68D3D18B4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5C58-4495-4CC1-A7A7-F966723D0510}">
  <dimension ref="A1:O273"/>
  <sheetViews>
    <sheetView topLeftCell="A37" workbookViewId="0">
      <selection activeCell="J150" sqref="J150"/>
    </sheetView>
  </sheetViews>
  <sheetFormatPr defaultRowHeight="14.4" x14ac:dyDescent="0.3"/>
  <cols>
    <col min="1" max="1" width="5.21875" style="17" customWidth="1"/>
    <col min="2" max="11" width="8.88671875" style="13"/>
    <col min="12" max="12" width="26.88671875" bestFit="1" customWidth="1"/>
    <col min="13" max="13" width="6.109375" customWidth="1"/>
    <col min="14" max="14" width="21.6640625" style="1" customWidth="1"/>
    <col min="15" max="16384" width="8.88671875" style="1"/>
  </cols>
  <sheetData>
    <row r="1" spans="2:13" x14ac:dyDescent="0.3">
      <c r="B1" s="3"/>
      <c r="C1" s="3"/>
      <c r="D1" s="3"/>
      <c r="E1" s="3"/>
      <c r="F1" s="3" t="s">
        <v>35</v>
      </c>
      <c r="G1" s="3"/>
      <c r="H1" s="3"/>
      <c r="I1" s="3"/>
      <c r="J1" s="3"/>
      <c r="K1" s="3"/>
      <c r="L1" s="3"/>
      <c r="M1" s="4"/>
    </row>
    <row r="2" spans="2:13" x14ac:dyDescent="0.3">
      <c r="B2" s="2" t="s">
        <v>33</v>
      </c>
      <c r="C2"/>
      <c r="D2"/>
      <c r="E2"/>
      <c r="F2"/>
      <c r="G2"/>
      <c r="H2"/>
      <c r="I2"/>
      <c r="J2"/>
      <c r="K2"/>
      <c r="M2" s="4"/>
    </row>
    <row r="3" spans="2:13" x14ac:dyDescent="0.3">
      <c r="B3"/>
      <c r="C3"/>
      <c r="D3"/>
      <c r="E3"/>
      <c r="F3"/>
      <c r="G3"/>
      <c r="H3"/>
      <c r="I3"/>
      <c r="J3"/>
      <c r="K3"/>
      <c r="M3" s="4"/>
    </row>
    <row r="4" spans="2:13" x14ac:dyDescent="0.3">
      <c r="B4"/>
      <c r="C4"/>
      <c r="D4"/>
      <c r="E4"/>
      <c r="F4"/>
      <c r="G4"/>
      <c r="H4"/>
      <c r="I4"/>
      <c r="M4" s="4"/>
    </row>
    <row r="5" spans="2:13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4"/>
    </row>
    <row r="6" spans="2:13" x14ac:dyDescent="0.3">
      <c r="L6" s="5"/>
      <c r="M6" s="4"/>
    </row>
    <row r="7" spans="2:13" x14ac:dyDescent="0.3">
      <c r="M7" s="4"/>
    </row>
    <row r="8" spans="2:13" x14ac:dyDescent="0.3">
      <c r="H8" s="32" t="s">
        <v>20</v>
      </c>
      <c r="I8" s="33"/>
      <c r="J8" s="33"/>
      <c r="K8" s="34"/>
      <c r="M8" s="4"/>
    </row>
    <row r="9" spans="2:13" x14ac:dyDescent="0.3">
      <c r="G9" s="16" t="s">
        <v>21</v>
      </c>
      <c r="H9" s="13" t="s">
        <v>22</v>
      </c>
      <c r="I9" s="13" t="s">
        <v>24</v>
      </c>
      <c r="J9" s="19">
        <f>(S*_xlfn.NORM.DIST(d1_,0,1, TRUE))-(K*EXP(-r_*T)*_xlfn.NORM.DIST(d2_,0,1,TRUE))</f>
        <v>219.55679558962177</v>
      </c>
      <c r="M9" s="4"/>
    </row>
    <row r="10" spans="2:13" x14ac:dyDescent="0.3">
      <c r="H10" s="13" t="s">
        <v>23</v>
      </c>
      <c r="I10" s="13" t="s">
        <v>25</v>
      </c>
      <c r="J10" s="19">
        <f>K*EXP(-r_*T)*_xlfn.NORM.DIST(-d2_,0,1,TRUE)-S*_xlfn.NORM.DIST(-d1_,0,1,TRUE)</f>
        <v>98.520128764571297</v>
      </c>
      <c r="M10" s="4"/>
    </row>
    <row r="11" spans="2:13" x14ac:dyDescent="0.3">
      <c r="M11" s="4"/>
    </row>
    <row r="12" spans="2:13" x14ac:dyDescent="0.3">
      <c r="L12" s="7"/>
      <c r="M12" s="4"/>
    </row>
    <row r="13" spans="2:13" x14ac:dyDescent="0.3">
      <c r="I13" s="13" t="s">
        <v>26</v>
      </c>
      <c r="J13" s="18">
        <f>(LN(S/K)+(r_+σ^2/2)*T)/(σ*SQRT(5))</f>
        <v>0.64845971347493891</v>
      </c>
      <c r="L13" s="7"/>
      <c r="M13" s="4"/>
    </row>
    <row r="14" spans="2:13" x14ac:dyDescent="0.3">
      <c r="E14" s="14"/>
      <c r="I14" s="13" t="s">
        <v>27</v>
      </c>
      <c r="J14" s="18">
        <f>d1_-σ*SQRT(5)</f>
        <v>-2.2360679774998005E-2</v>
      </c>
      <c r="L14" s="7"/>
      <c r="M14" s="4"/>
    </row>
    <row r="15" spans="2:13" x14ac:dyDescent="0.3">
      <c r="L15" s="7"/>
      <c r="M15" s="4"/>
    </row>
    <row r="16" spans="2:13" x14ac:dyDescent="0.3">
      <c r="C16" s="32" t="s">
        <v>0</v>
      </c>
      <c r="D16" s="33"/>
      <c r="E16" s="33"/>
      <c r="F16" s="34"/>
      <c r="L16" s="7"/>
      <c r="M16" s="4"/>
    </row>
    <row r="17" spans="3:13" x14ac:dyDescent="0.3">
      <c r="C17" s="13" t="s">
        <v>1</v>
      </c>
      <c r="E17" s="14" t="s">
        <v>6</v>
      </c>
      <c r="F17" s="19">
        <v>639</v>
      </c>
      <c r="G17" s="16" t="s">
        <v>21</v>
      </c>
      <c r="L17" s="7"/>
      <c r="M17" s="4"/>
    </row>
    <row r="18" spans="3:13" x14ac:dyDescent="0.3">
      <c r="C18" s="13" t="s">
        <v>2</v>
      </c>
      <c r="E18" s="14" t="s">
        <v>7</v>
      </c>
      <c r="F18" s="19">
        <v>639</v>
      </c>
      <c r="L18" s="7"/>
      <c r="M18" s="4"/>
    </row>
    <row r="19" spans="3:13" x14ac:dyDescent="0.3">
      <c r="C19" s="13" t="s">
        <v>3</v>
      </c>
      <c r="E19" s="14" t="s">
        <v>8</v>
      </c>
      <c r="F19" s="13">
        <v>5</v>
      </c>
      <c r="L19" s="7"/>
      <c r="M19" s="4"/>
    </row>
    <row r="20" spans="3:13" x14ac:dyDescent="0.3">
      <c r="C20" s="13" t="s">
        <v>4</v>
      </c>
      <c r="E20" s="14" t="s">
        <v>9</v>
      </c>
      <c r="F20" s="20">
        <v>4.2000000000000003E-2</v>
      </c>
      <c r="L20" s="7"/>
      <c r="M20" s="4"/>
    </row>
    <row r="21" spans="3:13" x14ac:dyDescent="0.3">
      <c r="C21" s="13" t="s">
        <v>5</v>
      </c>
      <c r="E21" s="14" t="s">
        <v>10</v>
      </c>
      <c r="F21" s="20">
        <v>0.3</v>
      </c>
      <c r="L21" s="7"/>
      <c r="M21" s="4"/>
    </row>
    <row r="22" spans="3:13" x14ac:dyDescent="0.3">
      <c r="E22" s="14"/>
      <c r="L22" s="9"/>
      <c r="M22" s="4"/>
    </row>
    <row r="23" spans="3:13" x14ac:dyDescent="0.3">
      <c r="E23" s="14"/>
      <c r="L23" s="9"/>
      <c r="M23" s="4"/>
    </row>
    <row r="24" spans="3:13" x14ac:dyDescent="0.3">
      <c r="E24" s="14"/>
      <c r="L24" s="9"/>
      <c r="M24" s="4"/>
    </row>
    <row r="25" spans="3:13" x14ac:dyDescent="0.3">
      <c r="E25" s="14"/>
      <c r="L25" s="9"/>
      <c r="M25" s="4"/>
    </row>
    <row r="26" spans="3:13" x14ac:dyDescent="0.3">
      <c r="E26" s="14"/>
      <c r="L26" s="9"/>
      <c r="M26" s="4"/>
    </row>
    <row r="27" spans="3:13" x14ac:dyDescent="0.3">
      <c r="E27" s="14"/>
      <c r="L27" s="9"/>
      <c r="M27" s="4"/>
    </row>
    <row r="28" spans="3:13" x14ac:dyDescent="0.3">
      <c r="E28" s="14"/>
      <c r="L28" s="9"/>
      <c r="M28" s="4"/>
    </row>
    <row r="29" spans="3:13" x14ac:dyDescent="0.3">
      <c r="E29" s="14"/>
      <c r="L29" s="9"/>
      <c r="M29" s="4"/>
    </row>
    <row r="30" spans="3:13" x14ac:dyDescent="0.3">
      <c r="E30" s="14"/>
      <c r="L30" s="9"/>
      <c r="M30" s="4"/>
    </row>
    <row r="31" spans="3:13" x14ac:dyDescent="0.3">
      <c r="E31" s="14"/>
      <c r="L31" s="9"/>
      <c r="M31" s="4"/>
    </row>
    <row r="32" spans="3:13" x14ac:dyDescent="0.3">
      <c r="E32" s="14"/>
      <c r="L32" s="9"/>
      <c r="M32" s="4"/>
    </row>
    <row r="33" spans="3:13" x14ac:dyDescent="0.3">
      <c r="E33" s="14"/>
      <c r="L33" s="9"/>
      <c r="M33" s="4"/>
    </row>
    <row r="34" spans="3:13" x14ac:dyDescent="0.3">
      <c r="E34" s="14"/>
      <c r="L34" s="9"/>
      <c r="M34" s="4"/>
    </row>
    <row r="35" spans="3:13" x14ac:dyDescent="0.3">
      <c r="E35" s="14"/>
      <c r="L35" s="9"/>
      <c r="M35" s="4"/>
    </row>
    <row r="36" spans="3:13" x14ac:dyDescent="0.3">
      <c r="E36" s="14"/>
      <c r="L36" s="9"/>
      <c r="M36" s="4"/>
    </row>
    <row r="37" spans="3:13" x14ac:dyDescent="0.3">
      <c r="E37" s="14"/>
      <c r="L37" s="9"/>
      <c r="M37" s="4"/>
    </row>
    <row r="38" spans="3:13" x14ac:dyDescent="0.3">
      <c r="E38" s="14"/>
      <c r="L38" s="9"/>
      <c r="M38" s="4"/>
    </row>
    <row r="39" spans="3:13" x14ac:dyDescent="0.3">
      <c r="L39" s="7"/>
      <c r="M39" s="4"/>
    </row>
    <row r="40" spans="3:13" x14ac:dyDescent="0.3">
      <c r="L40" s="7"/>
      <c r="M40" s="4"/>
    </row>
    <row r="41" spans="3:13" x14ac:dyDescent="0.3">
      <c r="L41" s="7"/>
      <c r="M41" s="4"/>
    </row>
    <row r="42" spans="3:13" x14ac:dyDescent="0.3">
      <c r="C42" s="32" t="s">
        <v>38</v>
      </c>
      <c r="D42" s="33"/>
      <c r="E42" s="33"/>
      <c r="F42" s="33"/>
      <c r="G42" s="33"/>
      <c r="H42" s="33"/>
      <c r="I42" s="33"/>
      <c r="J42" s="34"/>
      <c r="L42" s="7"/>
      <c r="M42" s="4"/>
    </row>
    <row r="43" spans="3:13" x14ac:dyDescent="0.3">
      <c r="L43" s="7"/>
      <c r="M43" s="4"/>
    </row>
    <row r="44" spans="3:13" x14ac:dyDescent="0.3">
      <c r="C44" t="s">
        <v>39</v>
      </c>
      <c r="D44" s="13" t="s">
        <v>40</v>
      </c>
      <c r="E44" t="s">
        <v>26</v>
      </c>
      <c r="F44" t="s">
        <v>27</v>
      </c>
      <c r="G44" s="13" t="s">
        <v>22</v>
      </c>
      <c r="H44" s="13" t="s">
        <v>23</v>
      </c>
      <c r="J44" s="13" t="s">
        <v>43</v>
      </c>
      <c r="L44" s="7"/>
      <c r="M44" s="4"/>
    </row>
    <row r="45" spans="3:13" x14ac:dyDescent="0.3">
      <c r="C45" s="21">
        <v>400</v>
      </c>
      <c r="D45" s="19">
        <f t="shared" ref="D45:D55" si="0">S</f>
        <v>639</v>
      </c>
      <c r="E45" s="18">
        <f t="shared" ref="E45:E55" si="1">(LN(C45/D45)+(r_+σ^2/2)*T)/(σ*SQRT(5))</f>
        <v>-4.984927054400632E-2</v>
      </c>
      <c r="F45" s="18">
        <f t="shared" ref="F45:F55" si="2">E45-σ*SQRT(5)</f>
        <v>-0.72066966379394326</v>
      </c>
      <c r="G45" s="19">
        <f t="shared" ref="G45:G55" si="3">(C45*_xlfn.NORM.DIST(E45,0,1, TRUE))-(D45*EXP(-r_*T)*_xlfn.NORM.DIST(F45,0,1,TRUE))</f>
        <v>70.038927400384594</v>
      </c>
      <c r="H45" s="19">
        <f t="shared" ref="H45:H55" si="4">D45*EXP(-r_*T)*_xlfn.NORM.DIST(-F45,0,1,TRUE)-C45*_xlfn.NORM.DIST(-E45,0,1,TRUE)</f>
        <v>188.00226057533408</v>
      </c>
      <c r="J45" s="19">
        <f>G45+D45*EXP(-r_*T)</f>
        <v>588.00226057533416</v>
      </c>
      <c r="K45" s="19">
        <f>H45+C45</f>
        <v>588.00226057533405</v>
      </c>
      <c r="M45" s="4"/>
    </row>
    <row r="46" spans="3:13" x14ac:dyDescent="0.3">
      <c r="C46" s="21">
        <v>450</v>
      </c>
      <c r="D46" s="19">
        <f t="shared" si="0"/>
        <v>639</v>
      </c>
      <c r="E46" s="18">
        <f t="shared" si="1"/>
        <v>0.12573131233863011</v>
      </c>
      <c r="F46" s="18">
        <f t="shared" si="2"/>
        <v>-0.54508908091130681</v>
      </c>
      <c r="G46" s="19">
        <f t="shared" si="3"/>
        <v>95.828906092884267</v>
      </c>
      <c r="H46" s="19">
        <f t="shared" si="4"/>
        <v>163.79223926783379</v>
      </c>
      <c r="M46" s="4"/>
    </row>
    <row r="47" spans="3:13" x14ac:dyDescent="0.3">
      <c r="C47" s="21">
        <v>500</v>
      </c>
      <c r="D47" s="19">
        <f t="shared" si="0"/>
        <v>639</v>
      </c>
      <c r="E47" s="18">
        <f t="shared" si="1"/>
        <v>0.28279349577551721</v>
      </c>
      <c r="F47" s="18">
        <f t="shared" si="2"/>
        <v>-0.38802689747441971</v>
      </c>
      <c r="G47" s="19">
        <f t="shared" si="3"/>
        <v>124.89801417414091</v>
      </c>
      <c r="H47" s="19">
        <f t="shared" si="4"/>
        <v>142.86134734909047</v>
      </c>
      <c r="M47" s="4"/>
    </row>
    <row r="48" spans="3:13" x14ac:dyDescent="0.3">
      <c r="C48" s="21">
        <v>550</v>
      </c>
      <c r="D48" s="19">
        <f t="shared" si="0"/>
        <v>639</v>
      </c>
      <c r="E48" s="18">
        <f t="shared" si="1"/>
        <v>0.42487352310231591</v>
      </c>
      <c r="F48" s="18">
        <f t="shared" si="2"/>
        <v>-0.24594687014762101</v>
      </c>
      <c r="G48" s="19">
        <f t="shared" si="3"/>
        <v>156.82698008889727</v>
      </c>
      <c r="H48" s="19">
        <f t="shared" si="4"/>
        <v>124.79031326384685</v>
      </c>
      <c r="M48" s="4"/>
    </row>
    <row r="49" spans="3:13" x14ac:dyDescent="0.3">
      <c r="C49" s="21">
        <v>600</v>
      </c>
      <c r="D49" s="19">
        <f t="shared" si="0"/>
        <v>639</v>
      </c>
      <c r="E49" s="18">
        <f t="shared" si="1"/>
        <v>0.55458242561209803</v>
      </c>
      <c r="F49" s="18">
        <f t="shared" si="2"/>
        <v>-0.11623796763783889</v>
      </c>
      <c r="G49" s="19">
        <f t="shared" si="3"/>
        <v>191.2293809054849</v>
      </c>
      <c r="H49" s="19">
        <f t="shared" si="4"/>
        <v>109.19271408043446</v>
      </c>
      <c r="M49" s="4"/>
    </row>
    <row r="50" spans="3:13" x14ac:dyDescent="0.3">
      <c r="C50" s="21">
        <v>650</v>
      </c>
      <c r="D50" s="19">
        <f t="shared" si="0"/>
        <v>639</v>
      </c>
      <c r="E50" s="18">
        <f t="shared" si="1"/>
        <v>0.67390304925287903</v>
      </c>
      <c r="F50" s="18">
        <f t="shared" si="2"/>
        <v>3.082656002942108E-3</v>
      </c>
      <c r="G50" s="19">
        <f t="shared" si="3"/>
        <v>227.7601323199097</v>
      </c>
      <c r="H50" s="19">
        <f t="shared" si="4"/>
        <v>95.723465494859255</v>
      </c>
      <c r="L50" t="s">
        <v>34</v>
      </c>
      <c r="M50" s="4"/>
    </row>
    <row r="51" spans="3:13" x14ac:dyDescent="0.3">
      <c r="C51" s="21">
        <v>700</v>
      </c>
      <c r="D51" s="19">
        <f t="shared" si="0"/>
        <v>639</v>
      </c>
      <c r="E51" s="18">
        <f t="shared" si="1"/>
        <v>0.78437669152646816</v>
      </c>
      <c r="F51" s="18">
        <f t="shared" si="2"/>
        <v>0.11355629827653124</v>
      </c>
      <c r="G51" s="19">
        <f t="shared" si="3"/>
        <v>266.11699091075292</v>
      </c>
      <c r="H51" s="19">
        <f t="shared" si="4"/>
        <v>84.080324085702443</v>
      </c>
      <c r="M51" s="4"/>
    </row>
    <row r="52" spans="3:13" x14ac:dyDescent="0.3">
      <c r="C52" s="21">
        <v>750</v>
      </c>
      <c r="D52" s="19">
        <f t="shared" si="0"/>
        <v>639</v>
      </c>
      <c r="E52" s="18">
        <f t="shared" si="1"/>
        <v>0.88722519193162175</v>
      </c>
      <c r="F52" s="18">
        <f t="shared" si="2"/>
        <v>0.21640479868168483</v>
      </c>
      <c r="G52" s="19">
        <f t="shared" si="3"/>
        <v>306.03845400389002</v>
      </c>
      <c r="H52" s="19">
        <f t="shared" si="4"/>
        <v>74.001787178839606</v>
      </c>
      <c r="M52" s="4"/>
    </row>
    <row r="53" spans="3:13" x14ac:dyDescent="0.3">
      <c r="C53" s="21">
        <v>800</v>
      </c>
      <c r="D53" s="19">
        <f t="shared" si="0"/>
        <v>639</v>
      </c>
      <c r="E53" s="18">
        <f t="shared" si="1"/>
        <v>0.98343353888556595</v>
      </c>
      <c r="F53" s="18">
        <f t="shared" si="2"/>
        <v>0.31261314563562903</v>
      </c>
      <c r="G53" s="19">
        <f t="shared" si="3"/>
        <v>347.30000748208352</v>
      </c>
      <c r="H53" s="19">
        <f t="shared" si="4"/>
        <v>65.263340657033069</v>
      </c>
      <c r="M53" s="4"/>
    </row>
    <row r="54" spans="3:13" x14ac:dyDescent="0.3">
      <c r="C54" s="21">
        <v>850</v>
      </c>
      <c r="D54" s="19">
        <f t="shared" si="0"/>
        <v>639</v>
      </c>
      <c r="E54" s="18">
        <f t="shared" si="1"/>
        <v>1.0738073892134095</v>
      </c>
      <c r="F54" s="18">
        <f t="shared" si="2"/>
        <v>0.40298699596347254</v>
      </c>
      <c r="G54" s="19">
        <f t="shared" si="3"/>
        <v>389.70980798995197</v>
      </c>
      <c r="H54" s="19">
        <f t="shared" si="4"/>
        <v>57.673141164901395</v>
      </c>
      <c r="M54" s="4"/>
    </row>
    <row r="55" spans="3:13" x14ac:dyDescent="0.3">
      <c r="C55" s="21">
        <v>900</v>
      </c>
      <c r="D55" s="19">
        <f t="shared" si="0"/>
        <v>639</v>
      </c>
      <c r="E55" s="18">
        <f t="shared" si="1"/>
        <v>1.1590141217682024</v>
      </c>
      <c r="F55" s="18">
        <f t="shared" si="2"/>
        <v>0.48819372851826548</v>
      </c>
      <c r="G55" s="19">
        <f t="shared" si="3"/>
        <v>433.10437811584222</v>
      </c>
      <c r="H55" s="19">
        <f t="shared" si="4"/>
        <v>51.067711290791749</v>
      </c>
      <c r="M55" s="4"/>
    </row>
    <row r="56" spans="3:13" x14ac:dyDescent="0.3">
      <c r="C56" s="21"/>
      <c r="D56" s="19"/>
      <c r="E56" s="18"/>
      <c r="F56" s="18"/>
      <c r="G56" s="19"/>
      <c r="H56" s="19"/>
      <c r="M56" s="4"/>
    </row>
    <row r="57" spans="3:13" x14ac:dyDescent="0.3">
      <c r="C57" s="21"/>
      <c r="D57" s="19"/>
      <c r="E57" s="18"/>
      <c r="F57" s="18"/>
      <c r="G57" s="19"/>
      <c r="H57" s="19"/>
      <c r="M57" s="4"/>
    </row>
    <row r="58" spans="3:13" x14ac:dyDescent="0.3">
      <c r="C58" s="21"/>
      <c r="D58" s="19"/>
      <c r="E58" s="18"/>
      <c r="F58" s="18"/>
      <c r="G58" s="19"/>
      <c r="H58" s="19"/>
      <c r="M58" s="4"/>
    </row>
    <row r="59" spans="3:13" x14ac:dyDescent="0.3">
      <c r="C59" s="21"/>
      <c r="D59" s="19"/>
      <c r="E59" s="18"/>
      <c r="F59" s="18"/>
      <c r="G59" s="19"/>
      <c r="H59" s="19"/>
      <c r="M59" s="4"/>
    </row>
    <row r="60" spans="3:13" x14ac:dyDescent="0.3">
      <c r="C60" s="21"/>
      <c r="D60" s="19"/>
      <c r="E60" s="18"/>
      <c r="F60" s="18"/>
      <c r="G60" s="19"/>
      <c r="H60" s="19"/>
      <c r="M60" s="4"/>
    </row>
    <row r="61" spans="3:13" x14ac:dyDescent="0.3">
      <c r="C61" s="21"/>
      <c r="D61" s="19"/>
      <c r="E61" s="18"/>
      <c r="F61" s="18"/>
      <c r="G61" s="19"/>
      <c r="H61" s="19"/>
      <c r="M61" s="4"/>
    </row>
    <row r="62" spans="3:13" x14ac:dyDescent="0.3">
      <c r="C62" s="21"/>
      <c r="D62" s="19"/>
      <c r="E62" s="18"/>
      <c r="F62" s="18"/>
      <c r="G62" s="19"/>
      <c r="H62" s="19"/>
      <c r="M62" s="4"/>
    </row>
    <row r="63" spans="3:13" x14ac:dyDescent="0.3">
      <c r="C63" s="21"/>
      <c r="D63" s="19"/>
      <c r="E63" s="18"/>
      <c r="F63" s="18"/>
      <c r="G63" s="19"/>
      <c r="H63" s="19"/>
      <c r="M63" s="4"/>
    </row>
    <row r="64" spans="3:13" x14ac:dyDescent="0.3">
      <c r="C64" s="21"/>
      <c r="D64" s="19"/>
      <c r="E64" s="18"/>
      <c r="F64" s="18"/>
      <c r="G64" s="19"/>
      <c r="H64" s="19"/>
      <c r="M64" s="4"/>
    </row>
    <row r="65" spans="2:13" x14ac:dyDescent="0.3">
      <c r="C65" s="21"/>
      <c r="D65" s="19"/>
      <c r="E65" s="18"/>
      <c r="F65" s="18"/>
      <c r="G65" s="19"/>
      <c r="H65" s="19"/>
      <c r="M65" s="4"/>
    </row>
    <row r="66" spans="2:13" x14ac:dyDescent="0.3">
      <c r="C66" s="21"/>
      <c r="D66" s="19"/>
      <c r="E66" s="18"/>
      <c r="F66" s="18"/>
      <c r="G66" s="19"/>
      <c r="H66" s="19"/>
      <c r="M66" s="4"/>
    </row>
    <row r="67" spans="2:13" x14ac:dyDescent="0.3">
      <c r="C67" s="21"/>
      <c r="D67" s="19"/>
      <c r="E67" s="18"/>
      <c r="F67" s="18"/>
      <c r="G67" s="19"/>
      <c r="H67" s="19"/>
      <c r="M67" s="4"/>
    </row>
    <row r="68" spans="2:13" x14ac:dyDescent="0.3">
      <c r="C68" s="21"/>
      <c r="D68" s="19"/>
      <c r="E68" s="18"/>
      <c r="F68" s="18"/>
      <c r="G68" s="19"/>
      <c r="H68" s="19"/>
      <c r="M68" s="4"/>
    </row>
    <row r="69" spans="2:13" x14ac:dyDescent="0.3">
      <c r="C69" s="21"/>
      <c r="D69" s="19"/>
      <c r="E69" s="18"/>
      <c r="F69" s="18"/>
      <c r="G69" s="19"/>
      <c r="H69" s="19"/>
      <c r="M69" s="4"/>
    </row>
    <row r="70" spans="2:13" x14ac:dyDescent="0.3">
      <c r="C70" s="21"/>
      <c r="D70" s="19"/>
      <c r="E70" s="18"/>
      <c r="F70" s="18"/>
      <c r="G70" s="19"/>
      <c r="H70" s="19"/>
      <c r="M70" s="4"/>
    </row>
    <row r="71" spans="2:13" x14ac:dyDescent="0.3">
      <c r="C71" s="21"/>
      <c r="D71" s="19"/>
      <c r="E71" s="18"/>
      <c r="F71" s="18"/>
      <c r="G71" s="19"/>
      <c r="H71" s="19"/>
      <c r="M71" s="4"/>
    </row>
    <row r="72" spans="2:13" x14ac:dyDescent="0.3">
      <c r="C72" s="21"/>
      <c r="D72" s="19"/>
      <c r="E72" s="18"/>
      <c r="F72" s="18"/>
      <c r="G72" s="19"/>
      <c r="H72" s="19"/>
      <c r="M72" s="4"/>
    </row>
    <row r="73" spans="2:13" x14ac:dyDescent="0.3">
      <c r="M73" s="4"/>
    </row>
    <row r="74" spans="2:13" x14ac:dyDescent="0.3">
      <c r="C74" s="32" t="s">
        <v>41</v>
      </c>
      <c r="D74" s="33"/>
      <c r="E74" s="33"/>
      <c r="F74" s="33"/>
      <c r="G74" s="33"/>
      <c r="H74" s="33"/>
      <c r="I74" s="33"/>
      <c r="J74" s="34"/>
      <c r="M74" s="4"/>
    </row>
    <row r="75" spans="2:13" x14ac:dyDescent="0.3">
      <c r="M75" s="4"/>
    </row>
    <row r="76" spans="2:13" x14ac:dyDescent="0.3">
      <c r="M76" s="4"/>
    </row>
    <row r="77" spans="2:13" x14ac:dyDescent="0.3">
      <c r="B77" s="13" t="s">
        <v>42</v>
      </c>
      <c r="D77" s="22">
        <f>C45</f>
        <v>400</v>
      </c>
      <c r="E77" s="22">
        <f>C47</f>
        <v>500</v>
      </c>
      <c r="F77" s="22">
        <f>C49</f>
        <v>600</v>
      </c>
      <c r="G77" s="22">
        <f>C51</f>
        <v>700</v>
      </c>
      <c r="H77" s="22">
        <f>C53</f>
        <v>800</v>
      </c>
      <c r="I77" s="22">
        <f>C55</f>
        <v>900</v>
      </c>
      <c r="M77" s="4"/>
    </row>
    <row r="78" spans="2:13" x14ac:dyDescent="0.3">
      <c r="C78" s="13">
        <v>1</v>
      </c>
      <c r="D78" s="19">
        <f t="shared" ref="D78:I82" si="5">(D$77*_xlfn.NORM.DIST((LN(D$77/K)+(r_+σ^2/2)*$C78)/(σ*SQRT($C78)),0,1, TRUE))-(K*EXP(-r_*$C78)*_xlfn.NORM.DIST(((LN(D$77/K)+(r_+σ^2/2)*$C78)/(σ*SQRT($C78))-σ*SQRT($C78)),0,1,TRUE))</f>
        <v>5.1521441569262763</v>
      </c>
      <c r="E78" s="19">
        <f t="shared" si="5"/>
        <v>24.481353264745962</v>
      </c>
      <c r="F78" s="19">
        <f t="shared" si="5"/>
        <v>66.115849182024959</v>
      </c>
      <c r="G78" s="19">
        <f t="shared" si="5"/>
        <v>129.41879261727922</v>
      </c>
      <c r="H78" s="19">
        <f t="shared" si="5"/>
        <v>208.65691518847007</v>
      </c>
      <c r="I78" s="19">
        <f t="shared" si="5"/>
        <v>297.74609381851565</v>
      </c>
      <c r="M78" s="4"/>
    </row>
    <row r="79" spans="2:13" x14ac:dyDescent="0.3">
      <c r="C79" s="13">
        <v>2</v>
      </c>
      <c r="D79" s="19">
        <f t="shared" si="5"/>
        <v>20.144579213030994</v>
      </c>
      <c r="E79" s="19">
        <f t="shared" si="5"/>
        <v>53.999561207150407</v>
      </c>
      <c r="F79" s="19">
        <f t="shared" si="5"/>
        <v>106.11134322237606</v>
      </c>
      <c r="G79" s="19">
        <f t="shared" si="5"/>
        <v>173.31638714985382</v>
      </c>
      <c r="H79" s="19">
        <f t="shared" si="5"/>
        <v>251.62534117698851</v>
      </c>
      <c r="I79" s="19">
        <f t="shared" si="5"/>
        <v>337.57001573043198</v>
      </c>
      <c r="M79" s="4"/>
    </row>
    <row r="80" spans="2:13" x14ac:dyDescent="0.3">
      <c r="C80" s="13">
        <v>3</v>
      </c>
      <c r="D80" s="19">
        <f t="shared" si="5"/>
        <v>37.05503752686289</v>
      </c>
      <c r="E80" s="19">
        <f t="shared" si="5"/>
        <v>80.103036926480172</v>
      </c>
      <c r="F80" s="19">
        <f t="shared" si="5"/>
        <v>138.41667276571187</v>
      </c>
      <c r="G80" s="19">
        <f t="shared" si="5"/>
        <v>208.65607029859376</v>
      </c>
      <c r="H80" s="19">
        <f t="shared" si="5"/>
        <v>287.66972581270073</v>
      </c>
      <c r="I80" s="19">
        <f t="shared" si="5"/>
        <v>372.9392555051146</v>
      </c>
      <c r="M80" s="4"/>
    </row>
    <row r="81" spans="1:14" x14ac:dyDescent="0.3">
      <c r="C81" s="13">
        <v>4</v>
      </c>
      <c r="D81" s="19">
        <f t="shared" si="5"/>
        <v>53.855859126750303</v>
      </c>
      <c r="E81" s="19">
        <f t="shared" si="5"/>
        <v>103.54430912523222</v>
      </c>
      <c r="F81" s="19">
        <f t="shared" si="5"/>
        <v>166.34100696551786</v>
      </c>
      <c r="G81" s="19">
        <f t="shared" si="5"/>
        <v>239.08670078174254</v>
      </c>
      <c r="H81" s="19">
        <f t="shared" si="5"/>
        <v>319.15245555193752</v>
      </c>
      <c r="I81" s="19">
        <f t="shared" si="5"/>
        <v>404.53315466694232</v>
      </c>
      <c r="M81" s="4"/>
    </row>
    <row r="82" spans="1:14" x14ac:dyDescent="0.3">
      <c r="C82" s="13">
        <v>5</v>
      </c>
      <c r="D82" s="19">
        <f t="shared" si="5"/>
        <v>70.038927400384594</v>
      </c>
      <c r="E82" s="19">
        <f t="shared" si="5"/>
        <v>124.89801417414091</v>
      </c>
      <c r="F82" s="19">
        <f t="shared" si="5"/>
        <v>191.2293809054849</v>
      </c>
      <c r="G82" s="19">
        <f t="shared" si="5"/>
        <v>266.11699091075292</v>
      </c>
      <c r="H82" s="19">
        <f t="shared" si="5"/>
        <v>347.30000748208352</v>
      </c>
      <c r="I82" s="19">
        <f t="shared" si="5"/>
        <v>433.10437811584222</v>
      </c>
      <c r="M82" s="4"/>
    </row>
    <row r="83" spans="1:14" x14ac:dyDescent="0.3">
      <c r="M83" s="4"/>
    </row>
    <row r="84" spans="1:14" x14ac:dyDescent="0.3">
      <c r="M84" s="4"/>
    </row>
    <row r="85" spans="1:14" x14ac:dyDescent="0.3">
      <c r="M85" s="4"/>
    </row>
    <row r="86" spans="1:14" x14ac:dyDescent="0.3">
      <c r="L86" s="10"/>
      <c r="M86" s="11"/>
    </row>
    <row r="87" spans="1:1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2"/>
      <c r="M87" s="12"/>
    </row>
    <row r="88" spans="1:1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4" ht="33.6" x14ac:dyDescent="0.6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3"/>
    </row>
    <row r="96" spans="1:1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5" ht="33.6" x14ac:dyDescent="0.6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3" t="s">
        <v>44</v>
      </c>
    </row>
    <row r="101" spans="1:15" ht="33.6" x14ac:dyDescent="0.6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O101" s="23"/>
    </row>
    <row r="102" spans="1:1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pans="1:1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5"/>
      <c r="M169" s="25"/>
      <c r="N169" s="25"/>
    </row>
    <row r="170" spans="1:15" ht="23.4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7"/>
      <c r="L170" s="26" t="s">
        <v>1</v>
      </c>
      <c r="M170" s="27" t="s">
        <v>6</v>
      </c>
      <c r="N170" s="28">
        <v>639</v>
      </c>
      <c r="O170" s="24"/>
    </row>
    <row r="171" spans="1:15" ht="23.4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7"/>
      <c r="L171" s="26" t="s">
        <v>2</v>
      </c>
      <c r="M171" s="27" t="s">
        <v>7</v>
      </c>
      <c r="N171" s="28">
        <v>639</v>
      </c>
      <c r="O171" s="24"/>
    </row>
    <row r="172" spans="1:15" ht="23.4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7"/>
      <c r="L172" s="26" t="s">
        <v>3</v>
      </c>
      <c r="M172" s="27" t="s">
        <v>8</v>
      </c>
      <c r="N172" s="26">
        <v>5</v>
      </c>
      <c r="O172" s="24"/>
    </row>
    <row r="173" spans="1:15" ht="23.4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7"/>
      <c r="L173" s="26" t="s">
        <v>4</v>
      </c>
      <c r="M173" s="27" t="s">
        <v>9</v>
      </c>
      <c r="N173" s="29">
        <v>4.2000000000000003E-2</v>
      </c>
      <c r="O173" s="24"/>
    </row>
    <row r="174" spans="1:15" ht="23.4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7"/>
      <c r="L174" s="26" t="s">
        <v>5</v>
      </c>
      <c r="M174" s="27" t="s">
        <v>10</v>
      </c>
      <c r="N174" s="29">
        <v>0.3</v>
      </c>
      <c r="O174" s="24"/>
    </row>
    <row r="175" spans="1:1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7"/>
      <c r="L175" s="1"/>
      <c r="M175" s="1"/>
      <c r="O175" s="24"/>
    </row>
    <row r="176" spans="1:1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pans="1:1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2:13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2:13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2:13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2:13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2:13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2:13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2:13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2:13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2:13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2:13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2:13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2:13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2:13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2:13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2:13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2:13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2:13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2:13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2:13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2:13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2:13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2:13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2:13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2:13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2:13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2:13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2:13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2:13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2:13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2:13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2:13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2:13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2:13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2:13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2:13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2:13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2:13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2:13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2:13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2:13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2:13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2:13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2:13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2:13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2:13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2:13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2:13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</sheetData>
  <mergeCells count="4">
    <mergeCell ref="H8:K8"/>
    <mergeCell ref="C16:F16"/>
    <mergeCell ref="C42:J42"/>
    <mergeCell ref="C74:J7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5BBF-6AA0-43DB-BD59-AA520EA135B4}">
  <dimension ref="A1:N206"/>
  <sheetViews>
    <sheetView tabSelected="1" topLeftCell="B1" workbookViewId="0">
      <selection activeCell="Q41" sqref="Q41"/>
    </sheetView>
  </sheetViews>
  <sheetFormatPr defaultRowHeight="14.4" x14ac:dyDescent="0.3"/>
  <cols>
    <col min="1" max="1" width="5.21875" style="17" customWidth="1"/>
    <col min="2" max="11" width="8.88671875" style="13"/>
    <col min="12" max="12" width="7.77734375" customWidth="1"/>
    <col min="13" max="13" width="1.5546875" customWidth="1"/>
    <col min="14" max="14" width="1" customWidth="1"/>
    <col min="15" max="16384" width="8.88671875" style="1"/>
  </cols>
  <sheetData>
    <row r="1" spans="2:14" x14ac:dyDescent="0.3">
      <c r="B1" s="3" t="s">
        <v>36</v>
      </c>
      <c r="C1" s="3"/>
      <c r="D1" s="3"/>
      <c r="E1" s="3"/>
      <c r="F1" s="3" t="s">
        <v>35</v>
      </c>
      <c r="G1" s="3"/>
      <c r="H1" s="3"/>
      <c r="I1" s="3"/>
      <c r="J1" s="3" t="s">
        <v>32</v>
      </c>
      <c r="K1" s="3"/>
      <c r="L1" s="3"/>
      <c r="M1" s="4"/>
      <c r="N1" s="4"/>
    </row>
    <row r="2" spans="2:14" x14ac:dyDescent="0.3">
      <c r="B2" s="2" t="s">
        <v>33</v>
      </c>
      <c r="C2"/>
      <c r="D2"/>
      <c r="E2"/>
      <c r="F2"/>
      <c r="G2"/>
      <c r="H2"/>
      <c r="I2"/>
      <c r="J2"/>
      <c r="K2"/>
      <c r="M2" s="4"/>
      <c r="N2" s="4"/>
    </row>
    <row r="3" spans="2:14" x14ac:dyDescent="0.3">
      <c r="B3"/>
      <c r="C3"/>
      <c r="D3"/>
      <c r="E3"/>
      <c r="F3"/>
      <c r="G3"/>
      <c r="H3"/>
      <c r="I3"/>
      <c r="J3"/>
      <c r="K3"/>
      <c r="M3" s="4"/>
      <c r="N3" s="4"/>
    </row>
    <row r="4" spans="2:14" x14ac:dyDescent="0.3">
      <c r="B4"/>
      <c r="C4"/>
      <c r="D4"/>
      <c r="E4"/>
      <c r="F4"/>
      <c r="G4"/>
      <c r="H4"/>
      <c r="I4"/>
      <c r="M4" s="4"/>
      <c r="N4" s="4"/>
    </row>
    <row r="5" spans="2:14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4"/>
      <c r="N5" s="4"/>
    </row>
    <row r="6" spans="2:14" x14ac:dyDescent="0.3">
      <c r="L6" s="5"/>
      <c r="M6" s="4"/>
      <c r="N6" s="4"/>
    </row>
    <row r="7" spans="2:14" x14ac:dyDescent="0.3">
      <c r="M7" s="4"/>
      <c r="N7" s="4"/>
    </row>
    <row r="8" spans="2:14" x14ac:dyDescent="0.3">
      <c r="C8" s="35" t="s">
        <v>19</v>
      </c>
      <c r="D8" s="35"/>
      <c r="E8" s="35"/>
      <c r="F8" s="35"/>
      <c r="H8" s="32" t="s">
        <v>20</v>
      </c>
      <c r="I8" s="33"/>
      <c r="J8" s="33"/>
      <c r="K8" s="34"/>
      <c r="M8" s="4"/>
      <c r="N8" s="4"/>
    </row>
    <row r="9" spans="2:14" x14ac:dyDescent="0.3">
      <c r="C9" s="15" t="s">
        <v>30</v>
      </c>
      <c r="H9" s="13" t="s">
        <v>22</v>
      </c>
      <c r="I9" s="13" t="s">
        <v>24</v>
      </c>
      <c r="J9" s="19">
        <f>(S*_xlfn.NORM.DIST(d1_,0,1, TRUE))-(K*EXP(-r_*T)*_xlfn.NORM.DIST(d2_,0,1,TRUE))</f>
        <v>219.55679558962177</v>
      </c>
      <c r="M9" s="4"/>
      <c r="N9" s="4"/>
    </row>
    <row r="10" spans="2:14" x14ac:dyDescent="0.3">
      <c r="C10" s="15" t="s">
        <v>28</v>
      </c>
      <c r="H10" s="13" t="s">
        <v>23</v>
      </c>
      <c r="I10" s="13" t="s">
        <v>25</v>
      </c>
      <c r="J10" s="19">
        <f>K*EXP(-r_*T)*_xlfn.NORM.DIST(-d2_,0,1,TRUE)-S*_xlfn.NORM.DIST(-d1_,0,1,TRUE)</f>
        <v>98.520128764571297</v>
      </c>
      <c r="M10" s="4"/>
      <c r="N10" s="4"/>
    </row>
    <row r="11" spans="2:14" x14ac:dyDescent="0.3">
      <c r="C11" s="15"/>
      <c r="M11" s="4"/>
      <c r="N11" s="4"/>
    </row>
    <row r="12" spans="2:14" x14ac:dyDescent="0.3">
      <c r="C12" s="15" t="s">
        <v>29</v>
      </c>
      <c r="L12" s="7"/>
      <c r="M12" s="8"/>
      <c r="N12" s="4"/>
    </row>
    <row r="13" spans="2:14" x14ac:dyDescent="0.3">
      <c r="C13" s="15" t="s">
        <v>37</v>
      </c>
      <c r="I13" s="13" t="s">
        <v>26</v>
      </c>
      <c r="J13" s="18">
        <f>(LN(S/K)+(r_+σ^2/2)*T)/(σ*SQRT(5))</f>
        <v>0.64845971347493891</v>
      </c>
      <c r="L13" s="7"/>
      <c r="M13" s="8"/>
      <c r="N13" s="4"/>
    </row>
    <row r="14" spans="2:14" x14ac:dyDescent="0.3">
      <c r="I14" s="13" t="s">
        <v>27</v>
      </c>
      <c r="J14" s="18">
        <f>d1_-σ*SQRT(5)</f>
        <v>-2.2360679774998005E-2</v>
      </c>
      <c r="L14" s="7"/>
      <c r="M14" s="8"/>
      <c r="N14" s="4"/>
    </row>
    <row r="15" spans="2:14" x14ac:dyDescent="0.3">
      <c r="L15" s="7"/>
      <c r="M15" s="8"/>
      <c r="N15" s="4"/>
    </row>
    <row r="16" spans="2:14" x14ac:dyDescent="0.3">
      <c r="C16" s="35" t="s">
        <v>0</v>
      </c>
      <c r="D16" s="35"/>
      <c r="E16" s="35"/>
      <c r="F16" s="35"/>
      <c r="L16" s="7"/>
      <c r="M16" s="8"/>
      <c r="N16" s="4"/>
    </row>
    <row r="17" spans="3:14" x14ac:dyDescent="0.3">
      <c r="C17" s="13" t="s">
        <v>1</v>
      </c>
      <c r="E17" s="14" t="s">
        <v>6</v>
      </c>
      <c r="F17" s="19">
        <v>639</v>
      </c>
      <c r="G17" s="16" t="s">
        <v>21</v>
      </c>
      <c r="L17" s="7"/>
      <c r="M17" s="8"/>
      <c r="N17" s="4"/>
    </row>
    <row r="18" spans="3:14" x14ac:dyDescent="0.3">
      <c r="C18" s="13" t="s">
        <v>2</v>
      </c>
      <c r="E18" s="14" t="s">
        <v>7</v>
      </c>
      <c r="F18" s="19">
        <v>639</v>
      </c>
      <c r="L18" s="7"/>
      <c r="M18" s="8"/>
      <c r="N18" s="4"/>
    </row>
    <row r="19" spans="3:14" x14ac:dyDescent="0.3">
      <c r="C19" s="13" t="s">
        <v>3</v>
      </c>
      <c r="E19" s="14" t="s">
        <v>8</v>
      </c>
      <c r="F19" s="13">
        <v>5</v>
      </c>
      <c r="L19" s="7"/>
      <c r="M19" s="8"/>
      <c r="N19" s="4"/>
    </row>
    <row r="20" spans="3:14" x14ac:dyDescent="0.3">
      <c r="C20" s="13" t="s">
        <v>4</v>
      </c>
      <c r="E20" s="14" t="s">
        <v>9</v>
      </c>
      <c r="F20" s="20">
        <v>4.2000000000000003E-2</v>
      </c>
      <c r="L20" s="7"/>
      <c r="M20" s="8"/>
      <c r="N20" s="4"/>
    </row>
    <row r="21" spans="3:14" x14ac:dyDescent="0.3">
      <c r="C21" s="13" t="s">
        <v>5</v>
      </c>
      <c r="E21" s="14" t="s">
        <v>10</v>
      </c>
      <c r="F21" s="20">
        <v>0.3</v>
      </c>
      <c r="L21" s="7"/>
      <c r="M21" s="8"/>
      <c r="N21" s="4"/>
    </row>
    <row r="22" spans="3:14" x14ac:dyDescent="0.3">
      <c r="E22" s="14"/>
      <c r="L22" s="9"/>
      <c r="M22" s="8"/>
      <c r="N22" s="4"/>
    </row>
    <row r="23" spans="3:14" x14ac:dyDescent="0.3">
      <c r="C23" s="13" t="s">
        <v>11</v>
      </c>
      <c r="E23" s="14" t="s">
        <v>12</v>
      </c>
      <c r="F23" s="13" t="s">
        <v>31</v>
      </c>
      <c r="L23" s="9"/>
      <c r="M23" s="8"/>
      <c r="N23" s="4"/>
    </row>
    <row r="24" spans="3:14" x14ac:dyDescent="0.3">
      <c r="C24" s="13" t="s">
        <v>16</v>
      </c>
      <c r="E24" s="14" t="s">
        <v>13</v>
      </c>
      <c r="L24" s="9"/>
      <c r="M24" s="8"/>
      <c r="N24" s="4"/>
    </row>
    <row r="25" spans="3:14" x14ac:dyDescent="0.3">
      <c r="C25" s="13" t="s">
        <v>14</v>
      </c>
      <c r="E25" s="14" t="s">
        <v>15</v>
      </c>
      <c r="L25" s="9"/>
      <c r="M25" s="8"/>
      <c r="N25" s="4"/>
    </row>
    <row r="26" spans="3:14" x14ac:dyDescent="0.3">
      <c r="C26" s="13" t="s">
        <v>17</v>
      </c>
      <c r="E26" s="14" t="s">
        <v>18</v>
      </c>
      <c r="F26" s="13">
        <v>3.14</v>
      </c>
      <c r="L26" s="9"/>
      <c r="M26" s="8"/>
      <c r="N26" s="4"/>
    </row>
    <row r="27" spans="3:14" x14ac:dyDescent="0.3">
      <c r="L27" s="7"/>
      <c r="M27" s="8"/>
      <c r="N27" s="4"/>
    </row>
    <row r="28" spans="3:14" x14ac:dyDescent="0.3">
      <c r="L28" s="7"/>
      <c r="M28" s="8"/>
      <c r="N28" s="4"/>
    </row>
    <row r="29" spans="3:14" x14ac:dyDescent="0.3">
      <c r="L29" s="7"/>
      <c r="M29" s="8"/>
      <c r="N29" s="4"/>
    </row>
    <row r="30" spans="3:14" x14ac:dyDescent="0.3">
      <c r="C30" s="32" t="s">
        <v>38</v>
      </c>
      <c r="D30" s="33"/>
      <c r="E30" s="33"/>
      <c r="F30" s="33"/>
      <c r="G30" s="33"/>
      <c r="H30" s="33"/>
      <c r="I30" s="33"/>
      <c r="J30" s="34"/>
      <c r="L30" s="7"/>
      <c r="M30" s="8"/>
      <c r="N30" s="4"/>
    </row>
    <row r="31" spans="3:14" x14ac:dyDescent="0.3">
      <c r="L31" s="7"/>
      <c r="M31" s="8"/>
      <c r="N31" s="4"/>
    </row>
    <row r="32" spans="3:14" x14ac:dyDescent="0.3">
      <c r="C32" t="s">
        <v>39</v>
      </c>
      <c r="D32" s="13" t="s">
        <v>40</v>
      </c>
      <c r="E32" t="s">
        <v>26</v>
      </c>
      <c r="F32" t="s">
        <v>27</v>
      </c>
      <c r="G32" s="13" t="s">
        <v>22</v>
      </c>
      <c r="H32" s="13" t="s">
        <v>23</v>
      </c>
      <c r="J32" s="13" t="s">
        <v>43</v>
      </c>
      <c r="L32" s="7"/>
      <c r="M32" s="8"/>
      <c r="N32" s="4"/>
    </row>
    <row r="33" spans="2:14" x14ac:dyDescent="0.3">
      <c r="C33" s="21">
        <v>400</v>
      </c>
      <c r="D33" s="19">
        <f t="shared" ref="D33:D43" si="0">S</f>
        <v>639</v>
      </c>
      <c r="E33" s="18">
        <f t="shared" ref="E33:E43" si="1">(LN(C33/D33)+(r_+σ^2/2)*T)/(σ*SQRT(5))</f>
        <v>-4.984927054400632E-2</v>
      </c>
      <c r="F33" s="18">
        <f t="shared" ref="F33:F43" si="2">E33-σ*SQRT(5)</f>
        <v>-0.72066966379394326</v>
      </c>
      <c r="G33" s="19">
        <f t="shared" ref="G33:G43" si="3">(C33*_xlfn.NORM.DIST(E33,0,1, TRUE))-(D33*EXP(-r_*T)*_xlfn.NORM.DIST(F33,0,1,TRUE))</f>
        <v>70.038927400384594</v>
      </c>
      <c r="H33" s="19">
        <f t="shared" ref="H33:H43" si="4">D33*EXP(-r_*T)*_xlfn.NORM.DIST(-F33,0,1,TRUE)-C33*_xlfn.NORM.DIST(-E33,0,1,TRUE)</f>
        <v>188.00226057533408</v>
      </c>
      <c r="J33" s="19">
        <f>G33+D33*EXP(-r_*T)</f>
        <v>588.00226057533416</v>
      </c>
      <c r="K33" s="19">
        <f>H33+C33</f>
        <v>588.00226057533405</v>
      </c>
      <c r="M33" s="4"/>
      <c r="N33" s="4"/>
    </row>
    <row r="34" spans="2:14" x14ac:dyDescent="0.3">
      <c r="C34" s="21">
        <v>450</v>
      </c>
      <c r="D34" s="19">
        <f t="shared" si="0"/>
        <v>639</v>
      </c>
      <c r="E34" s="18">
        <f t="shared" si="1"/>
        <v>0.12573131233863011</v>
      </c>
      <c r="F34" s="18">
        <f t="shared" si="2"/>
        <v>-0.54508908091130681</v>
      </c>
      <c r="G34" s="19">
        <f t="shared" si="3"/>
        <v>95.828906092884267</v>
      </c>
      <c r="H34" s="19">
        <f t="shared" si="4"/>
        <v>163.79223926783379</v>
      </c>
      <c r="M34" s="4"/>
      <c r="N34" s="4"/>
    </row>
    <row r="35" spans="2:14" x14ac:dyDescent="0.3">
      <c r="C35" s="21">
        <v>500</v>
      </c>
      <c r="D35" s="19">
        <f t="shared" si="0"/>
        <v>639</v>
      </c>
      <c r="E35" s="18">
        <f t="shared" si="1"/>
        <v>0.28279349577551721</v>
      </c>
      <c r="F35" s="18">
        <f t="shared" si="2"/>
        <v>-0.38802689747441971</v>
      </c>
      <c r="G35" s="19">
        <f t="shared" si="3"/>
        <v>124.89801417414091</v>
      </c>
      <c r="H35" s="19">
        <f t="shared" si="4"/>
        <v>142.86134734909047</v>
      </c>
      <c r="M35" s="4"/>
      <c r="N35" s="4"/>
    </row>
    <row r="36" spans="2:14" x14ac:dyDescent="0.3">
      <c r="C36" s="21">
        <v>550</v>
      </c>
      <c r="D36" s="19">
        <f t="shared" si="0"/>
        <v>639</v>
      </c>
      <c r="E36" s="18">
        <f t="shared" si="1"/>
        <v>0.42487352310231591</v>
      </c>
      <c r="F36" s="18">
        <f t="shared" si="2"/>
        <v>-0.24594687014762101</v>
      </c>
      <c r="G36" s="19">
        <f t="shared" si="3"/>
        <v>156.82698008889727</v>
      </c>
      <c r="H36" s="19">
        <f t="shared" si="4"/>
        <v>124.79031326384685</v>
      </c>
      <c r="M36" s="4"/>
      <c r="N36" s="4"/>
    </row>
    <row r="37" spans="2:14" x14ac:dyDescent="0.3">
      <c r="C37" s="21">
        <v>600</v>
      </c>
      <c r="D37" s="19">
        <f t="shared" si="0"/>
        <v>639</v>
      </c>
      <c r="E37" s="18">
        <f t="shared" si="1"/>
        <v>0.55458242561209803</v>
      </c>
      <c r="F37" s="18">
        <f t="shared" si="2"/>
        <v>-0.11623796763783889</v>
      </c>
      <c r="G37" s="19">
        <f t="shared" si="3"/>
        <v>191.2293809054849</v>
      </c>
      <c r="H37" s="19">
        <f t="shared" si="4"/>
        <v>109.19271408043446</v>
      </c>
      <c r="M37" s="4"/>
      <c r="N37" s="4"/>
    </row>
    <row r="38" spans="2:14" x14ac:dyDescent="0.3">
      <c r="C38" s="21">
        <v>650</v>
      </c>
      <c r="D38" s="19">
        <f t="shared" si="0"/>
        <v>639</v>
      </c>
      <c r="E38" s="18">
        <f t="shared" si="1"/>
        <v>0.67390304925287903</v>
      </c>
      <c r="F38" s="18">
        <f t="shared" si="2"/>
        <v>3.082656002942108E-3</v>
      </c>
      <c r="G38" s="19">
        <f t="shared" si="3"/>
        <v>227.7601323199097</v>
      </c>
      <c r="H38" s="19">
        <f t="shared" si="4"/>
        <v>95.723465494859255</v>
      </c>
      <c r="L38" t="s">
        <v>34</v>
      </c>
      <c r="M38" s="4"/>
      <c r="N38" s="4"/>
    </row>
    <row r="39" spans="2:14" x14ac:dyDescent="0.3">
      <c r="C39" s="21">
        <v>700</v>
      </c>
      <c r="D39" s="19">
        <f t="shared" si="0"/>
        <v>639</v>
      </c>
      <c r="E39" s="18">
        <f t="shared" si="1"/>
        <v>0.78437669152646816</v>
      </c>
      <c r="F39" s="18">
        <f t="shared" si="2"/>
        <v>0.11355629827653124</v>
      </c>
      <c r="G39" s="19">
        <f t="shared" si="3"/>
        <v>266.11699091075292</v>
      </c>
      <c r="H39" s="19">
        <f t="shared" si="4"/>
        <v>84.080324085702443</v>
      </c>
      <c r="M39" s="4"/>
      <c r="N39" s="4"/>
    </row>
    <row r="40" spans="2:14" x14ac:dyDescent="0.3">
      <c r="C40" s="21">
        <v>750</v>
      </c>
      <c r="D40" s="19">
        <f t="shared" si="0"/>
        <v>639</v>
      </c>
      <c r="E40" s="18">
        <f t="shared" si="1"/>
        <v>0.88722519193162175</v>
      </c>
      <c r="F40" s="18">
        <f t="shared" si="2"/>
        <v>0.21640479868168483</v>
      </c>
      <c r="G40" s="19">
        <f t="shared" si="3"/>
        <v>306.03845400389002</v>
      </c>
      <c r="H40" s="19">
        <f t="shared" si="4"/>
        <v>74.001787178839606</v>
      </c>
      <c r="M40" s="4"/>
      <c r="N40" s="4"/>
    </row>
    <row r="41" spans="2:14" x14ac:dyDescent="0.3">
      <c r="C41" s="21">
        <v>800</v>
      </c>
      <c r="D41" s="19">
        <f t="shared" si="0"/>
        <v>639</v>
      </c>
      <c r="E41" s="18">
        <f t="shared" si="1"/>
        <v>0.98343353888556595</v>
      </c>
      <c r="F41" s="18">
        <f t="shared" si="2"/>
        <v>0.31261314563562903</v>
      </c>
      <c r="G41" s="19">
        <f t="shared" si="3"/>
        <v>347.30000748208352</v>
      </c>
      <c r="H41" s="19">
        <f t="shared" si="4"/>
        <v>65.263340657033069</v>
      </c>
      <c r="M41" s="4"/>
      <c r="N41" s="4"/>
    </row>
    <row r="42" spans="2:14" x14ac:dyDescent="0.3">
      <c r="C42" s="21">
        <v>850</v>
      </c>
      <c r="D42" s="19">
        <f t="shared" si="0"/>
        <v>639</v>
      </c>
      <c r="E42" s="18">
        <f t="shared" si="1"/>
        <v>1.0738073892134095</v>
      </c>
      <c r="F42" s="18">
        <f t="shared" si="2"/>
        <v>0.40298699596347254</v>
      </c>
      <c r="G42" s="19">
        <f t="shared" si="3"/>
        <v>389.70980798995197</v>
      </c>
      <c r="H42" s="19">
        <f t="shared" si="4"/>
        <v>57.673141164901395</v>
      </c>
      <c r="M42" s="4"/>
      <c r="N42" s="4"/>
    </row>
    <row r="43" spans="2:14" x14ac:dyDescent="0.3">
      <c r="C43" s="21">
        <v>900</v>
      </c>
      <c r="D43" s="19">
        <f t="shared" si="0"/>
        <v>639</v>
      </c>
      <c r="E43" s="18">
        <f t="shared" si="1"/>
        <v>1.1590141217682024</v>
      </c>
      <c r="F43" s="18">
        <f t="shared" si="2"/>
        <v>0.48819372851826548</v>
      </c>
      <c r="G43" s="19">
        <f t="shared" si="3"/>
        <v>433.10437811584222</v>
      </c>
      <c r="H43" s="19">
        <f t="shared" si="4"/>
        <v>51.067711290791749</v>
      </c>
      <c r="M43" s="4"/>
      <c r="N43" s="4"/>
    </row>
    <row r="44" spans="2:14" x14ac:dyDescent="0.3">
      <c r="M44" s="4"/>
      <c r="N44" s="4"/>
    </row>
    <row r="45" spans="2:14" x14ac:dyDescent="0.3">
      <c r="C45" s="32" t="s">
        <v>41</v>
      </c>
      <c r="D45" s="33"/>
      <c r="E45" s="33"/>
      <c r="F45" s="33"/>
      <c r="G45" s="33"/>
      <c r="H45" s="33"/>
      <c r="I45" s="33"/>
      <c r="J45" s="34"/>
      <c r="M45" s="4"/>
      <c r="N45" s="4"/>
    </row>
    <row r="46" spans="2:14" x14ac:dyDescent="0.3">
      <c r="M46" s="4"/>
      <c r="N46" s="4"/>
    </row>
    <row r="47" spans="2:14" x14ac:dyDescent="0.3">
      <c r="M47" s="4"/>
      <c r="N47" s="4"/>
    </row>
    <row r="48" spans="2:14" x14ac:dyDescent="0.3">
      <c r="B48" s="13" t="s">
        <v>42</v>
      </c>
      <c r="D48" s="22">
        <f>C33</f>
        <v>400</v>
      </c>
      <c r="E48" s="22">
        <f>C35</f>
        <v>500</v>
      </c>
      <c r="F48" s="22">
        <f>C37</f>
        <v>600</v>
      </c>
      <c r="G48" s="22">
        <f>C39</f>
        <v>700</v>
      </c>
      <c r="H48" s="22">
        <f>C41</f>
        <v>800</v>
      </c>
      <c r="I48" s="22">
        <f>C43</f>
        <v>900</v>
      </c>
      <c r="M48" s="4"/>
      <c r="N48" s="4"/>
    </row>
    <row r="49" spans="2:14" x14ac:dyDescent="0.3">
      <c r="C49" s="13">
        <v>1</v>
      </c>
      <c r="D49" s="19">
        <f t="shared" ref="D49:I53" si="5">(D$48*_xlfn.NORM.DIST((LN(D$48/K)+(r_+σ^2/2)*$C49)/(σ*SQRT($C49)),0,1, TRUE))-(K*EXP(-r_*$C49)*_xlfn.NORM.DIST(((LN(D$48/K)+(r_+σ^2/2)*$C49)/(σ*SQRT($C49))-σ*SQRT($C49)),0,1,TRUE))</f>
        <v>5.1521441569262763</v>
      </c>
      <c r="E49" s="19">
        <f t="shared" si="5"/>
        <v>24.481353264745962</v>
      </c>
      <c r="F49" s="19">
        <f t="shared" si="5"/>
        <v>66.115849182024959</v>
      </c>
      <c r="G49" s="19">
        <f t="shared" si="5"/>
        <v>129.41879261727922</v>
      </c>
      <c r="H49" s="19">
        <f t="shared" si="5"/>
        <v>208.65691518847007</v>
      </c>
      <c r="I49" s="19">
        <f t="shared" si="5"/>
        <v>297.74609381851565</v>
      </c>
      <c r="M49" s="4"/>
      <c r="N49" s="4"/>
    </row>
    <row r="50" spans="2:14" x14ac:dyDescent="0.3">
      <c r="C50" s="13">
        <v>2</v>
      </c>
      <c r="D50" s="19">
        <f t="shared" si="5"/>
        <v>20.144579213030994</v>
      </c>
      <c r="E50" s="19">
        <f t="shared" si="5"/>
        <v>53.999561207150407</v>
      </c>
      <c r="F50" s="19">
        <f t="shared" si="5"/>
        <v>106.11134322237606</v>
      </c>
      <c r="G50" s="19">
        <f t="shared" si="5"/>
        <v>173.31638714985382</v>
      </c>
      <c r="H50" s="19">
        <f t="shared" si="5"/>
        <v>251.62534117698851</v>
      </c>
      <c r="I50" s="19">
        <f t="shared" si="5"/>
        <v>337.57001573043198</v>
      </c>
      <c r="M50" s="4"/>
      <c r="N50" s="4"/>
    </row>
    <row r="51" spans="2:14" x14ac:dyDescent="0.3">
      <c r="C51" s="13">
        <v>3</v>
      </c>
      <c r="D51" s="19">
        <f t="shared" si="5"/>
        <v>37.05503752686289</v>
      </c>
      <c r="E51" s="19">
        <f t="shared" si="5"/>
        <v>80.103036926480172</v>
      </c>
      <c r="F51" s="19">
        <f t="shared" si="5"/>
        <v>138.41667276571187</v>
      </c>
      <c r="G51" s="19">
        <f t="shared" si="5"/>
        <v>208.65607029859376</v>
      </c>
      <c r="H51" s="19">
        <f t="shared" si="5"/>
        <v>287.66972581270073</v>
      </c>
      <c r="I51" s="19">
        <f t="shared" si="5"/>
        <v>372.9392555051146</v>
      </c>
      <c r="M51" s="4"/>
      <c r="N51" s="4"/>
    </row>
    <row r="52" spans="2:14" x14ac:dyDescent="0.3">
      <c r="C52" s="13">
        <v>4</v>
      </c>
      <c r="D52" s="19">
        <f t="shared" si="5"/>
        <v>53.855859126750303</v>
      </c>
      <c r="E52" s="19">
        <f t="shared" si="5"/>
        <v>103.54430912523222</v>
      </c>
      <c r="F52" s="19">
        <f t="shared" si="5"/>
        <v>166.34100696551786</v>
      </c>
      <c r="G52" s="19">
        <f t="shared" si="5"/>
        <v>239.08670078174254</v>
      </c>
      <c r="H52" s="19">
        <f t="shared" si="5"/>
        <v>319.15245555193752</v>
      </c>
      <c r="I52" s="19">
        <f t="shared" si="5"/>
        <v>404.53315466694232</v>
      </c>
      <c r="M52" s="4"/>
      <c r="N52" s="4"/>
    </row>
    <row r="53" spans="2:14" x14ac:dyDescent="0.3">
      <c r="C53" s="13">
        <v>5</v>
      </c>
      <c r="D53" s="19">
        <f t="shared" si="5"/>
        <v>70.038927400384594</v>
      </c>
      <c r="E53" s="19">
        <f t="shared" si="5"/>
        <v>124.89801417414091</v>
      </c>
      <c r="F53" s="19">
        <f t="shared" si="5"/>
        <v>191.2293809054849</v>
      </c>
      <c r="G53" s="19">
        <f t="shared" si="5"/>
        <v>266.11699091075292</v>
      </c>
      <c r="H53" s="19">
        <f t="shared" si="5"/>
        <v>347.30000748208352</v>
      </c>
      <c r="I53" s="19">
        <f t="shared" si="5"/>
        <v>433.10437811584222</v>
      </c>
      <c r="M53" s="4"/>
      <c r="N53" s="4"/>
    </row>
    <row r="54" spans="2:14" x14ac:dyDescent="0.3">
      <c r="M54" s="4"/>
      <c r="N54" s="4"/>
    </row>
    <row r="55" spans="2:14" x14ac:dyDescent="0.3">
      <c r="M55" s="4"/>
      <c r="N55" s="4"/>
    </row>
    <row r="56" spans="2:14" x14ac:dyDescent="0.3">
      <c r="M56" s="4"/>
      <c r="N56" s="4"/>
    </row>
    <row r="57" spans="2:14" x14ac:dyDescent="0.3">
      <c r="M57" s="4"/>
      <c r="N57" s="4"/>
    </row>
    <row r="58" spans="2:14" ht="5.4" customHeight="1" x14ac:dyDescent="0.3">
      <c r="B58" s="30"/>
      <c r="C58" s="31"/>
      <c r="D58" s="31"/>
      <c r="E58" s="10"/>
      <c r="F58" s="31"/>
      <c r="G58" s="31"/>
      <c r="H58" s="10"/>
      <c r="I58" s="10"/>
      <c r="J58" s="31"/>
      <c r="K58" s="31"/>
      <c r="L58" s="10"/>
      <c r="M58" s="10"/>
      <c r="N58" s="11"/>
    </row>
    <row r="59" spans="2:14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2"/>
      <c r="M59" s="1"/>
      <c r="N59" s="12"/>
    </row>
    <row r="60" spans="2:14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2:14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2:14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2:14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2:14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2:14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2:14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2:14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2:14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2:14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2:14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2:14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2:14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2:14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2:14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2:14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2:14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2:14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2:14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2:14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2:14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2:14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2:14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2:14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2:14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2:14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2:14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2:14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2:14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2:14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2:14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2:14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2:14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2:14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2:14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2:14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2:14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2:14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2:14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2:14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2:14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2:14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2:14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2:14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2:14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2:14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2:14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2:14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2:14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2:14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2:14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2:14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2:14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2:14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2:14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2:14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2:14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2:14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2:14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2:14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2:14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2:14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2:14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2:14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2:14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2:14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2:14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2:14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2:14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2:14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2:14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2:14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2:14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2:14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2:14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2:14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2:14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2:14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2:14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4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2:14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2:14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2:14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2:14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2:14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2:14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2:14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2:14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2:14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2:14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2:14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2:14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2:14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2:14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2:14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2:14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2:14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2:14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2:14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2:14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2:14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2:14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2:14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2:14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2:14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2:14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2:14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2:14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2:14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2:14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2:14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2:14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2:14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2:14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2:14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2:14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2:14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2:14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2:14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2:14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2:14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2:14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2:14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2:14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2:14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2:14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2:14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2:14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2:14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2:14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2:14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2:14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2:14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2:14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2:14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2:14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2:14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2:14" x14ac:dyDescent="0.3">
      <c r="L197" s="1"/>
      <c r="M197" s="1"/>
      <c r="N197" s="1"/>
    </row>
    <row r="198" spans="2:14" x14ac:dyDescent="0.3">
      <c r="L198" s="1"/>
      <c r="M198" s="1"/>
      <c r="N198" s="1"/>
    </row>
    <row r="199" spans="2:14" x14ac:dyDescent="0.3">
      <c r="L199" s="1"/>
      <c r="M199" s="1"/>
      <c r="N199" s="1"/>
    </row>
    <row r="200" spans="2:14" x14ac:dyDescent="0.3">
      <c r="L200" s="1"/>
      <c r="M200" s="1"/>
      <c r="N200" s="1"/>
    </row>
    <row r="201" spans="2:14" x14ac:dyDescent="0.3">
      <c r="L201" s="1"/>
      <c r="M201" s="1"/>
      <c r="N201" s="1"/>
    </row>
    <row r="202" spans="2:14" x14ac:dyDescent="0.3">
      <c r="L202" s="1"/>
      <c r="M202" s="1"/>
      <c r="N202" s="1"/>
    </row>
    <row r="203" spans="2:14" x14ac:dyDescent="0.3">
      <c r="L203" s="1"/>
      <c r="M203" s="1"/>
      <c r="N203" s="1"/>
    </row>
    <row r="204" spans="2:14" x14ac:dyDescent="0.3">
      <c r="L204" s="1"/>
      <c r="M204" s="1"/>
      <c r="N204" s="1"/>
    </row>
    <row r="205" spans="2:14" x14ac:dyDescent="0.3">
      <c r="L205" s="1"/>
      <c r="M205" s="1"/>
      <c r="N205" s="1"/>
    </row>
    <row r="206" spans="2:14" x14ac:dyDescent="0.3">
      <c r="L206" s="1"/>
      <c r="M206" s="1"/>
      <c r="N206" s="1"/>
    </row>
  </sheetData>
  <mergeCells count="5">
    <mergeCell ref="C45:J45"/>
    <mergeCell ref="C16:F16"/>
    <mergeCell ref="C8:F8"/>
    <mergeCell ref="H8:K8"/>
    <mergeCell ref="C30:J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BlackScholes (2)</vt:lpstr>
      <vt:lpstr>BlackScholes</vt:lpstr>
      <vt:lpstr>'BlackScholes (2)'!d1_</vt:lpstr>
      <vt:lpstr>d1_</vt:lpstr>
      <vt:lpstr>'BlackScholes (2)'!d2_</vt:lpstr>
      <vt:lpstr>d2_</vt:lpstr>
      <vt:lpstr>'BlackScholes (2)'!K</vt:lpstr>
      <vt:lpstr>K</vt:lpstr>
      <vt:lpstr>'BlackScholes (2)'!r_</vt:lpstr>
      <vt:lpstr>r_</vt:lpstr>
      <vt:lpstr>'BlackScholes (2)'!S</vt:lpstr>
      <vt:lpstr>S</vt:lpstr>
      <vt:lpstr>'BlackScholes (2)'!T</vt:lpstr>
      <vt:lpstr>T</vt:lpstr>
      <vt:lpstr>'BlackScholes (2)'!σ</vt:lpstr>
      <vt:lpstr>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Hp</cp:lastModifiedBy>
  <dcterms:created xsi:type="dcterms:W3CDTF">2026-02-17T06:26:28Z</dcterms:created>
  <dcterms:modified xsi:type="dcterms:W3CDTF">2026-10-23T08:49:37Z</dcterms:modified>
</cp:coreProperties>
</file>